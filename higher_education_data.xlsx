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2895ec1bef020c/Desktop/EXCEL DATA SET/Excel files/"/>
    </mc:Choice>
  </mc:AlternateContent>
  <xr:revisionPtr revIDLastSave="152" documentId="8_{919B184C-CB0F-4357-9244-7A436B3FD489}" xr6:coauthVersionLast="47" xr6:coauthVersionMax="47" xr10:uidLastSave="{EF9668F3-484C-47C0-8BDF-1DA0F0E37CA3}"/>
  <bookViews>
    <workbookView xWindow="-120" yWindow="-16320" windowWidth="29040" windowHeight="15720" xr2:uid="{2C1EA846-25DF-453F-ADF0-45C7C1E3ABBC}"/>
  </bookViews>
  <sheets>
    <sheet name="HE Data" sheetId="2" r:id="rId1"/>
  </sheets>
  <definedNames>
    <definedName name="ExternalData_1" localSheetId="0" hidden="1">'HE Data'!$A$1:$AF$1001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X2" i="2"/>
  <c r="Y2" i="2" s="1" a="1"/>
  <c r="Y2" i="2" s="1"/>
  <c r="X3" i="2"/>
  <c r="Y3" i="2" s="1" a="1"/>
  <c r="Y3" i="2" s="1"/>
  <c r="X4" i="2"/>
  <c r="Y4" i="2" s="1" a="1"/>
  <c r="Y4" i="2" s="1"/>
  <c r="X5" i="2"/>
  <c r="Y5" i="2" s="1" a="1"/>
  <c r="Y5" i="2" s="1"/>
  <c r="X6" i="2"/>
  <c r="Y6" i="2" s="1" a="1"/>
  <c r="Y6" i="2" s="1"/>
  <c r="X7" i="2"/>
  <c r="Y7" i="2" s="1" a="1"/>
  <c r="Y7" i="2" s="1"/>
  <c r="X8" i="2"/>
  <c r="Y8" i="2" s="1" a="1"/>
  <c r="Y8" i="2" s="1"/>
  <c r="X9" i="2"/>
  <c r="Y9" i="2" s="1" a="1"/>
  <c r="Y9" i="2" s="1"/>
  <c r="X10" i="2"/>
  <c r="Y10" i="2" s="1" a="1"/>
  <c r="Y10" i="2" s="1"/>
  <c r="X11" i="2"/>
  <c r="Y11" i="2" s="1" a="1"/>
  <c r="Y11" i="2" s="1"/>
  <c r="X12" i="2"/>
  <c r="Y12" i="2" s="1" a="1"/>
  <c r="Y12" i="2" s="1"/>
  <c r="X13" i="2"/>
  <c r="Y13" i="2" s="1" a="1"/>
  <c r="Y13" i="2" s="1"/>
  <c r="X14" i="2"/>
  <c r="Y14" i="2" s="1" a="1"/>
  <c r="Y14" i="2" s="1"/>
  <c r="X15" i="2"/>
  <c r="Y15" i="2" s="1" a="1"/>
  <c r="Y15" i="2" s="1"/>
  <c r="X16" i="2"/>
  <c r="Y16" i="2" s="1" a="1"/>
  <c r="Y16" i="2" s="1"/>
  <c r="X17" i="2"/>
  <c r="Y17" i="2" s="1" a="1"/>
  <c r="Y17" i="2" s="1"/>
  <c r="X18" i="2"/>
  <c r="Y18" i="2" s="1" a="1"/>
  <c r="Y18" i="2" s="1"/>
  <c r="X19" i="2"/>
  <c r="Y19" i="2" s="1" a="1"/>
  <c r="Y19" i="2" s="1"/>
  <c r="X20" i="2"/>
  <c r="Y20" i="2" s="1" a="1"/>
  <c r="Y20" i="2" s="1"/>
  <c r="X21" i="2"/>
  <c r="Y21" i="2" s="1" a="1"/>
  <c r="Y21" i="2" s="1"/>
  <c r="X22" i="2"/>
  <c r="Y22" i="2" s="1" a="1"/>
  <c r="Y22" i="2" s="1"/>
  <c r="X23" i="2"/>
  <c r="Y23" i="2" s="1" a="1"/>
  <c r="Y23" i="2" s="1"/>
  <c r="X24" i="2"/>
  <c r="Y24" i="2" s="1" a="1"/>
  <c r="Y24" i="2" s="1"/>
  <c r="X25" i="2"/>
  <c r="Y25" i="2" s="1" a="1"/>
  <c r="Y25" i="2" s="1"/>
  <c r="X26" i="2"/>
  <c r="Y26" i="2" s="1" a="1"/>
  <c r="Y26" i="2" s="1"/>
  <c r="X27" i="2"/>
  <c r="Y27" i="2" s="1" a="1"/>
  <c r="Y27" i="2" s="1"/>
  <c r="X28" i="2"/>
  <c r="Y28" i="2" s="1" a="1"/>
  <c r="Y28" i="2" s="1"/>
  <c r="X29" i="2"/>
  <c r="Z29" i="2" s="1"/>
  <c r="X30" i="2"/>
  <c r="Y30" i="2" s="1" a="1"/>
  <c r="Y30" i="2" s="1"/>
  <c r="X31" i="2"/>
  <c r="Y31" i="2" s="1" a="1"/>
  <c r="Y31" i="2" s="1"/>
  <c r="X32" i="2"/>
  <c r="Y32" i="2" s="1" a="1"/>
  <c r="Y32" i="2" s="1"/>
  <c r="X33" i="2"/>
  <c r="Y33" i="2" s="1" a="1"/>
  <c r="Y33" i="2" s="1"/>
  <c r="X34" i="2"/>
  <c r="Y34" i="2" s="1" a="1"/>
  <c r="Y34" i="2" s="1"/>
  <c r="X35" i="2"/>
  <c r="Y35" i="2" s="1" a="1"/>
  <c r="Y35" i="2" s="1"/>
  <c r="X36" i="2"/>
  <c r="Z36" i="2" s="1"/>
  <c r="X37" i="2"/>
  <c r="Y37" i="2" s="1" a="1"/>
  <c r="Y37" i="2" s="1"/>
  <c r="X38" i="2"/>
  <c r="Y38" i="2" s="1" a="1"/>
  <c r="Y38" i="2" s="1"/>
  <c r="X39" i="2"/>
  <c r="Y39" i="2" s="1" a="1"/>
  <c r="Y39" i="2" s="1"/>
  <c r="X40" i="2"/>
  <c r="Y40" i="2" s="1" a="1"/>
  <c r="Y40" i="2" s="1"/>
  <c r="X41" i="2"/>
  <c r="Y41" i="2" s="1" a="1"/>
  <c r="Y41" i="2" s="1"/>
  <c r="X42" i="2"/>
  <c r="Y42" i="2" s="1" a="1"/>
  <c r="Y42" i="2" s="1"/>
  <c r="X43" i="2"/>
  <c r="Y43" i="2" s="1" a="1"/>
  <c r="Y43" i="2" s="1"/>
  <c r="X44" i="2"/>
  <c r="Y44" i="2" s="1" a="1"/>
  <c r="Y44" i="2" s="1"/>
  <c r="X45" i="2"/>
  <c r="Y45" i="2" s="1" a="1"/>
  <c r="Y45" i="2" s="1"/>
  <c r="X46" i="2"/>
  <c r="Y46" i="2" s="1" a="1"/>
  <c r="Y46" i="2" s="1"/>
  <c r="X47" i="2"/>
  <c r="Y47" i="2" s="1" a="1"/>
  <c r="Y47" i="2" s="1"/>
  <c r="X48" i="2"/>
  <c r="Y48" i="2" s="1" a="1"/>
  <c r="Y48" i="2" s="1"/>
  <c r="X49" i="2"/>
  <c r="Y49" i="2" s="1" a="1"/>
  <c r="Y49" i="2" s="1"/>
  <c r="X50" i="2"/>
  <c r="Y50" i="2" s="1" a="1"/>
  <c r="Y50" i="2" s="1"/>
  <c r="X51" i="2"/>
  <c r="Y51" i="2" s="1" a="1"/>
  <c r="Y51" i="2" s="1"/>
  <c r="X52" i="2"/>
  <c r="Y52" i="2" s="1" a="1"/>
  <c r="Y52" i="2" s="1"/>
  <c r="X53" i="2"/>
  <c r="Y53" i="2" s="1" a="1"/>
  <c r="Y53" i="2" s="1"/>
  <c r="X54" i="2"/>
  <c r="Y54" i="2" s="1" a="1"/>
  <c r="Y54" i="2" s="1"/>
  <c r="X55" i="2"/>
  <c r="Y55" i="2" s="1" a="1"/>
  <c r="Y55" i="2" s="1"/>
  <c r="X56" i="2"/>
  <c r="Y56" i="2" s="1" a="1"/>
  <c r="Y56" i="2" s="1"/>
  <c r="X57" i="2"/>
  <c r="Y57" i="2" s="1" a="1"/>
  <c r="Y57" i="2" s="1"/>
  <c r="X58" i="2"/>
  <c r="Y58" i="2" s="1" a="1"/>
  <c r="Y58" i="2" s="1"/>
  <c r="X59" i="2"/>
  <c r="Y59" i="2" s="1" a="1"/>
  <c r="Y59" i="2" s="1"/>
  <c r="X60" i="2"/>
  <c r="Y60" i="2" s="1" a="1"/>
  <c r="Y60" i="2" s="1"/>
  <c r="X61" i="2"/>
  <c r="Y61" i="2" s="1" a="1"/>
  <c r="Y61" i="2" s="1"/>
  <c r="X62" i="2"/>
  <c r="Y62" i="2" s="1" a="1"/>
  <c r="Y62" i="2" s="1"/>
  <c r="X63" i="2"/>
  <c r="Y63" i="2" s="1" a="1"/>
  <c r="Y63" i="2" s="1"/>
  <c r="X64" i="2"/>
  <c r="Y64" i="2" s="1" a="1"/>
  <c r="Y64" i="2" s="1"/>
  <c r="X65" i="2"/>
  <c r="Y65" i="2" s="1" a="1"/>
  <c r="Y65" i="2" s="1"/>
  <c r="X66" i="2"/>
  <c r="Y66" i="2" s="1" a="1"/>
  <c r="Y66" i="2" s="1"/>
  <c r="X67" i="2"/>
  <c r="Y67" i="2" s="1" a="1"/>
  <c r="Y67" i="2" s="1"/>
  <c r="X68" i="2"/>
  <c r="Y68" i="2" s="1" a="1"/>
  <c r="Y68" i="2" s="1"/>
  <c r="X69" i="2"/>
  <c r="Y69" i="2" s="1" a="1"/>
  <c r="Y69" i="2" s="1"/>
  <c r="X70" i="2"/>
  <c r="Y70" i="2" s="1" a="1"/>
  <c r="Y70" i="2" s="1"/>
  <c r="X71" i="2"/>
  <c r="Y71" i="2" s="1" a="1"/>
  <c r="Y71" i="2" s="1"/>
  <c r="X72" i="2"/>
  <c r="Y72" i="2" s="1" a="1"/>
  <c r="Y72" i="2" s="1"/>
  <c r="X73" i="2"/>
  <c r="Y73" i="2" s="1" a="1"/>
  <c r="Y73" i="2" s="1"/>
  <c r="X74" i="2"/>
  <c r="Y74" i="2" s="1" a="1"/>
  <c r="Y74" i="2" s="1"/>
  <c r="X75" i="2"/>
  <c r="Y75" i="2" s="1" a="1"/>
  <c r="Y75" i="2" s="1"/>
  <c r="X76" i="2"/>
  <c r="Y76" i="2" s="1" a="1"/>
  <c r="Y76" i="2" s="1"/>
  <c r="X77" i="2"/>
  <c r="Y77" i="2" s="1" a="1"/>
  <c r="Y77" i="2" s="1"/>
  <c r="X78" i="2"/>
  <c r="Y78" i="2" s="1" a="1"/>
  <c r="Y78" i="2" s="1"/>
  <c r="X79" i="2"/>
  <c r="Y79" i="2" s="1" a="1"/>
  <c r="Y79" i="2" s="1"/>
  <c r="X80" i="2"/>
  <c r="Y80" i="2" s="1" a="1"/>
  <c r="Y80" i="2" s="1"/>
  <c r="X81" i="2"/>
  <c r="Y81" i="2" s="1" a="1"/>
  <c r="Y81" i="2" s="1"/>
  <c r="X82" i="2"/>
  <c r="Y82" i="2" s="1" a="1"/>
  <c r="Y82" i="2" s="1"/>
  <c r="X83" i="2"/>
  <c r="Y83" i="2" s="1" a="1"/>
  <c r="Y83" i="2" s="1"/>
  <c r="X84" i="2"/>
  <c r="Y84" i="2" s="1" a="1"/>
  <c r="Y84" i="2" s="1"/>
  <c r="X85" i="2"/>
  <c r="Y85" i="2" s="1" a="1"/>
  <c r="Y85" i="2" s="1"/>
  <c r="X86" i="2"/>
  <c r="Y86" i="2" s="1" a="1"/>
  <c r="Y86" i="2" s="1"/>
  <c r="X87" i="2"/>
  <c r="Y87" i="2" s="1" a="1"/>
  <c r="Y87" i="2" s="1"/>
  <c r="X88" i="2"/>
  <c r="Y88" i="2" s="1" a="1"/>
  <c r="Y88" i="2" s="1"/>
  <c r="X89" i="2"/>
  <c r="Y89" i="2" s="1" a="1"/>
  <c r="Y89" i="2" s="1"/>
  <c r="X90" i="2"/>
  <c r="Y90" i="2" s="1" a="1"/>
  <c r="Y90" i="2" s="1"/>
  <c r="X91" i="2"/>
  <c r="Y91" i="2" s="1" a="1"/>
  <c r="Y91" i="2" s="1"/>
  <c r="X92" i="2"/>
  <c r="Y92" i="2" s="1" a="1"/>
  <c r="Y92" i="2" s="1"/>
  <c r="X93" i="2"/>
  <c r="Y93" i="2" s="1" a="1"/>
  <c r="Y93" i="2" s="1"/>
  <c r="X94" i="2"/>
  <c r="Y94" i="2" s="1" a="1"/>
  <c r="Y94" i="2" s="1"/>
  <c r="X95" i="2"/>
  <c r="Y95" i="2" s="1" a="1"/>
  <c r="Y95" i="2" s="1"/>
  <c r="X96" i="2"/>
  <c r="Y96" i="2" s="1" a="1"/>
  <c r="Y96" i="2" s="1"/>
  <c r="X97" i="2"/>
  <c r="Y97" i="2" s="1" a="1"/>
  <c r="Y97" i="2" s="1"/>
  <c r="X98" i="2"/>
  <c r="Y98" i="2" s="1" a="1"/>
  <c r="Y98" i="2" s="1"/>
  <c r="X99" i="2"/>
  <c r="Y99" i="2" s="1" a="1"/>
  <c r="Y99" i="2" s="1"/>
  <c r="X100" i="2"/>
  <c r="Y100" i="2" s="1" a="1"/>
  <c r="Y100" i="2" s="1"/>
  <c r="X101" i="2"/>
  <c r="Y101" i="2" s="1" a="1"/>
  <c r="Y101" i="2" s="1"/>
  <c r="X102" i="2"/>
  <c r="Y102" i="2" s="1" a="1"/>
  <c r="Y102" i="2" s="1"/>
  <c r="X103" i="2"/>
  <c r="Z103" i="2" s="1"/>
  <c r="X104" i="2"/>
  <c r="Y104" i="2" s="1" a="1"/>
  <c r="Y104" i="2" s="1"/>
  <c r="X105" i="2"/>
  <c r="Y105" i="2" s="1" a="1"/>
  <c r="Y105" i="2" s="1"/>
  <c r="X106" i="2"/>
  <c r="Y106" i="2" s="1" a="1"/>
  <c r="Y106" i="2" s="1"/>
  <c r="X107" i="2"/>
  <c r="Y107" i="2" s="1" a="1"/>
  <c r="Y107" i="2" s="1"/>
  <c r="X108" i="2"/>
  <c r="Y108" i="2" s="1" a="1"/>
  <c r="Y108" i="2" s="1"/>
  <c r="X109" i="2"/>
  <c r="Y109" i="2" s="1" a="1"/>
  <c r="Y109" i="2" s="1"/>
  <c r="X110" i="2"/>
  <c r="Y110" i="2" s="1" a="1"/>
  <c r="Y110" i="2" s="1"/>
  <c r="X111" i="2"/>
  <c r="Y111" i="2" s="1" a="1"/>
  <c r="Y111" i="2" s="1"/>
  <c r="X112" i="2"/>
  <c r="Y112" i="2" s="1" a="1"/>
  <c r="Y112" i="2" s="1"/>
  <c r="X113" i="2"/>
  <c r="Y113" i="2" s="1" a="1"/>
  <c r="Y113" i="2" s="1"/>
  <c r="X114" i="2"/>
  <c r="Y114" i="2" s="1" a="1"/>
  <c r="Y114" i="2" s="1"/>
  <c r="X115" i="2"/>
  <c r="Y115" i="2" s="1" a="1"/>
  <c r="Y115" i="2" s="1"/>
  <c r="X116" i="2"/>
  <c r="Y116" i="2" s="1" a="1"/>
  <c r="Y116" i="2" s="1"/>
  <c r="X117" i="2"/>
  <c r="Y117" i="2" s="1" a="1"/>
  <c r="Y117" i="2" s="1"/>
  <c r="X118" i="2"/>
  <c r="Y118" i="2" s="1" a="1"/>
  <c r="Y118" i="2" s="1"/>
  <c r="X119" i="2"/>
  <c r="Y119" i="2" s="1" a="1"/>
  <c r="Y119" i="2" s="1"/>
  <c r="X120" i="2"/>
  <c r="Y120" i="2" s="1" a="1"/>
  <c r="Y120" i="2" s="1"/>
  <c r="X121" i="2"/>
  <c r="Y121" i="2" s="1" a="1"/>
  <c r="Y121" i="2" s="1"/>
  <c r="X122" i="2"/>
  <c r="Y122" i="2" s="1" a="1"/>
  <c r="Y122" i="2" s="1"/>
  <c r="X123" i="2"/>
  <c r="Y123" i="2" s="1" a="1"/>
  <c r="Y123" i="2" s="1"/>
  <c r="X124" i="2"/>
  <c r="Y124" i="2" s="1" a="1"/>
  <c r="Y124" i="2" s="1"/>
  <c r="X125" i="2"/>
  <c r="Y125" i="2" s="1" a="1"/>
  <c r="Y125" i="2" s="1"/>
  <c r="X126" i="2"/>
  <c r="Y126" i="2" s="1" a="1"/>
  <c r="Y126" i="2" s="1"/>
  <c r="X127" i="2"/>
  <c r="Y127" i="2" s="1" a="1"/>
  <c r="Y127" i="2" s="1"/>
  <c r="X128" i="2"/>
  <c r="Y128" i="2" s="1" a="1"/>
  <c r="Y128" i="2" s="1"/>
  <c r="X129" i="2"/>
  <c r="Y129" i="2" s="1" a="1"/>
  <c r="Y129" i="2" s="1"/>
  <c r="X130" i="2"/>
  <c r="Y130" i="2" s="1" a="1"/>
  <c r="Y130" i="2" s="1"/>
  <c r="X131" i="2"/>
  <c r="Y131" i="2" s="1" a="1"/>
  <c r="Y131" i="2" s="1"/>
  <c r="X132" i="2"/>
  <c r="Y132" i="2" s="1" a="1"/>
  <c r="Y132" i="2" s="1"/>
  <c r="X133" i="2"/>
  <c r="Y133" i="2" s="1" a="1"/>
  <c r="Y133" i="2" s="1"/>
  <c r="X134" i="2"/>
  <c r="Y134" i="2" s="1" a="1"/>
  <c r="Y134" i="2" s="1"/>
  <c r="X135" i="2"/>
  <c r="Y135" i="2" s="1" a="1"/>
  <c r="Y135" i="2" s="1"/>
  <c r="X136" i="2"/>
  <c r="Y136" i="2" s="1" a="1"/>
  <c r="Y136" i="2" s="1"/>
  <c r="X137" i="2"/>
  <c r="Y137" i="2" s="1" a="1"/>
  <c r="Y137" i="2" s="1"/>
  <c r="X138" i="2"/>
  <c r="Y138" i="2" s="1" a="1"/>
  <c r="Y138" i="2" s="1"/>
  <c r="X139" i="2"/>
  <c r="Y139" i="2" s="1" a="1"/>
  <c r="Y139" i="2" s="1"/>
  <c r="X140" i="2"/>
  <c r="Y140" i="2" s="1" a="1"/>
  <c r="Y140" i="2" s="1"/>
  <c r="X141" i="2"/>
  <c r="Y141" i="2" s="1" a="1"/>
  <c r="Y141" i="2" s="1"/>
  <c r="X142" i="2"/>
  <c r="Y142" i="2" s="1" a="1"/>
  <c r="Y142" i="2" s="1"/>
  <c r="X143" i="2"/>
  <c r="Y143" i="2" s="1" a="1"/>
  <c r="Y143" i="2" s="1"/>
  <c r="X144" i="2"/>
  <c r="Y144" i="2" s="1" a="1"/>
  <c r="Y144" i="2" s="1"/>
  <c r="X145" i="2"/>
  <c r="Y145" i="2" s="1" a="1"/>
  <c r="Y145" i="2" s="1"/>
  <c r="X146" i="2"/>
  <c r="Y146" i="2" s="1" a="1"/>
  <c r="Y146" i="2" s="1"/>
  <c r="X147" i="2"/>
  <c r="Y147" i="2" s="1" a="1"/>
  <c r="Y147" i="2" s="1"/>
  <c r="X148" i="2"/>
  <c r="Y148" i="2" s="1" a="1"/>
  <c r="Y148" i="2" s="1"/>
  <c r="X149" i="2"/>
  <c r="Y149" i="2" s="1" a="1"/>
  <c r="Y149" i="2" s="1"/>
  <c r="X150" i="2"/>
  <c r="Y150" i="2" s="1" a="1"/>
  <c r="Y150" i="2" s="1"/>
  <c r="X151" i="2"/>
  <c r="Y151" i="2" s="1" a="1"/>
  <c r="Y151" i="2" s="1"/>
  <c r="X152" i="2"/>
  <c r="Y152" i="2" s="1" a="1"/>
  <c r="Y152" i="2" s="1"/>
  <c r="X153" i="2"/>
  <c r="Y153" i="2" s="1" a="1"/>
  <c r="Y153" i="2" s="1"/>
  <c r="X154" i="2"/>
  <c r="Y154" i="2" s="1" a="1"/>
  <c r="Y154" i="2" s="1"/>
  <c r="X155" i="2"/>
  <c r="Y155" i="2" s="1" a="1"/>
  <c r="Y155" i="2" s="1"/>
  <c r="X156" i="2"/>
  <c r="Y156" i="2" s="1" a="1"/>
  <c r="Y156" i="2" s="1"/>
  <c r="X157" i="2"/>
  <c r="Y157" i="2" s="1" a="1"/>
  <c r="Y157" i="2" s="1"/>
  <c r="X158" i="2"/>
  <c r="Y158" i="2" s="1" a="1"/>
  <c r="Y158" i="2" s="1"/>
  <c r="X159" i="2"/>
  <c r="Y159" i="2" s="1" a="1"/>
  <c r="Y159" i="2" s="1"/>
  <c r="X160" i="2"/>
  <c r="Y160" i="2" s="1" a="1"/>
  <c r="Y160" i="2" s="1"/>
  <c r="X161" i="2"/>
  <c r="Y161" i="2" s="1" a="1"/>
  <c r="Y161" i="2" s="1"/>
  <c r="X162" i="2"/>
  <c r="Y162" i="2" s="1" a="1"/>
  <c r="Y162" i="2" s="1"/>
  <c r="X163" i="2"/>
  <c r="Y163" i="2" s="1" a="1"/>
  <c r="Y163" i="2" s="1"/>
  <c r="X164" i="2"/>
  <c r="Y164" i="2" s="1" a="1"/>
  <c r="Y164" i="2" s="1"/>
  <c r="X165" i="2"/>
  <c r="Y165" i="2" s="1" a="1"/>
  <c r="Y165" i="2" s="1"/>
  <c r="X166" i="2"/>
  <c r="Y166" i="2" s="1" a="1"/>
  <c r="Y166" i="2" s="1"/>
  <c r="X167" i="2"/>
  <c r="Y167" i="2" s="1" a="1"/>
  <c r="Y167" i="2" s="1"/>
  <c r="X168" i="2"/>
  <c r="Y168" i="2" s="1" a="1"/>
  <c r="Y168" i="2" s="1"/>
  <c r="X169" i="2"/>
  <c r="Y169" i="2" s="1" a="1"/>
  <c r="Y169" i="2" s="1"/>
  <c r="X170" i="2"/>
  <c r="Y170" i="2" s="1" a="1"/>
  <c r="Y170" i="2" s="1"/>
  <c r="X171" i="2"/>
  <c r="Y171" i="2" s="1" a="1"/>
  <c r="Y171" i="2" s="1"/>
  <c r="X172" i="2"/>
  <c r="Y172" i="2" s="1" a="1"/>
  <c r="Y172" i="2" s="1"/>
  <c r="X173" i="2"/>
  <c r="Y173" i="2" s="1" a="1"/>
  <c r="Y173" i="2" s="1"/>
  <c r="X174" i="2"/>
  <c r="Y174" i="2" s="1" a="1"/>
  <c r="Y174" i="2" s="1"/>
  <c r="X175" i="2"/>
  <c r="Y175" i="2" s="1" a="1"/>
  <c r="Y175" i="2" s="1"/>
  <c r="X176" i="2"/>
  <c r="Y176" i="2" s="1" a="1"/>
  <c r="Y176" i="2" s="1"/>
  <c r="X177" i="2"/>
  <c r="Y177" i="2" s="1" a="1"/>
  <c r="Y177" i="2" s="1"/>
  <c r="X178" i="2"/>
  <c r="Y178" i="2" s="1" a="1"/>
  <c r="Y178" i="2" s="1"/>
  <c r="X179" i="2"/>
  <c r="Y179" i="2" s="1" a="1"/>
  <c r="Y179" i="2" s="1"/>
  <c r="X180" i="2"/>
  <c r="Y180" i="2" s="1" a="1"/>
  <c r="Y180" i="2" s="1"/>
  <c r="X181" i="2"/>
  <c r="Y181" i="2" s="1" a="1"/>
  <c r="Y181" i="2" s="1"/>
  <c r="X182" i="2"/>
  <c r="Y182" i="2" s="1" a="1"/>
  <c r="Y182" i="2" s="1"/>
  <c r="X183" i="2"/>
  <c r="Y183" i="2" s="1" a="1"/>
  <c r="Y183" i="2" s="1"/>
  <c r="X184" i="2"/>
  <c r="Y184" i="2" s="1" a="1"/>
  <c r="Y184" i="2" s="1"/>
  <c r="X185" i="2"/>
  <c r="Y185" i="2" s="1" a="1"/>
  <c r="Y185" i="2" s="1"/>
  <c r="X186" i="2"/>
  <c r="Y186" i="2" s="1" a="1"/>
  <c r="Y186" i="2" s="1"/>
  <c r="X187" i="2"/>
  <c r="Y187" i="2" s="1" a="1"/>
  <c r="Y187" i="2" s="1"/>
  <c r="X188" i="2"/>
  <c r="Y188" i="2" s="1" a="1"/>
  <c r="Y188" i="2" s="1"/>
  <c r="X189" i="2"/>
  <c r="Y189" i="2" s="1" a="1"/>
  <c r="Y189" i="2" s="1"/>
  <c r="X190" i="2"/>
  <c r="Y190" i="2" s="1" a="1"/>
  <c r="Y190" i="2" s="1"/>
  <c r="X191" i="2"/>
  <c r="Y191" i="2" s="1" a="1"/>
  <c r="Y191" i="2" s="1"/>
  <c r="X192" i="2"/>
  <c r="Y192" i="2" s="1" a="1"/>
  <c r="Y192" i="2" s="1"/>
  <c r="X193" i="2"/>
  <c r="Y193" i="2" s="1" a="1"/>
  <c r="Y193" i="2" s="1"/>
  <c r="X194" i="2"/>
  <c r="Y194" i="2" s="1" a="1"/>
  <c r="Y194" i="2" s="1"/>
  <c r="X195" i="2"/>
  <c r="Y195" i="2" s="1" a="1"/>
  <c r="Y195" i="2" s="1"/>
  <c r="X196" i="2"/>
  <c r="Y196" i="2" s="1" a="1"/>
  <c r="Y196" i="2" s="1"/>
  <c r="X197" i="2"/>
  <c r="Y197" i="2" s="1" a="1"/>
  <c r="Y197" i="2" s="1"/>
  <c r="X198" i="2"/>
  <c r="Y198" i="2" s="1" a="1"/>
  <c r="Y198" i="2" s="1"/>
  <c r="X199" i="2"/>
  <c r="Y199" i="2" s="1" a="1"/>
  <c r="Y199" i="2" s="1"/>
  <c r="X200" i="2"/>
  <c r="Y200" i="2" s="1" a="1"/>
  <c r="Y200" i="2" s="1"/>
  <c r="X201" i="2"/>
  <c r="Y201" i="2" s="1" a="1"/>
  <c r="Y201" i="2" s="1"/>
  <c r="X202" i="2"/>
  <c r="Y202" i="2" s="1" a="1"/>
  <c r="Y202" i="2" s="1"/>
  <c r="X203" i="2"/>
  <c r="Y203" i="2" s="1" a="1"/>
  <c r="Y203" i="2" s="1"/>
  <c r="X204" i="2"/>
  <c r="Y204" i="2" s="1" a="1"/>
  <c r="Y204" i="2" s="1"/>
  <c r="X205" i="2"/>
  <c r="Z205" i="2" s="1"/>
  <c r="X206" i="2"/>
  <c r="Y206" i="2" s="1" a="1"/>
  <c r="Y206" i="2" s="1"/>
  <c r="X207" i="2"/>
  <c r="Y207" i="2" s="1" a="1"/>
  <c r="Y207" i="2" s="1"/>
  <c r="X208" i="2"/>
  <c r="Y208" i="2" s="1" a="1"/>
  <c r="Y208" i="2" s="1"/>
  <c r="X209" i="2"/>
  <c r="Y209" i="2" s="1" a="1"/>
  <c r="Y209" i="2" s="1"/>
  <c r="X210" i="2"/>
  <c r="Y210" i="2" s="1" a="1"/>
  <c r="Y210" i="2" s="1"/>
  <c r="X211" i="2"/>
  <c r="Y211" i="2" s="1" a="1"/>
  <c r="Y211" i="2" s="1"/>
  <c r="X212" i="2"/>
  <c r="Z212" i="2" s="1"/>
  <c r="X213" i="2"/>
  <c r="Y213" i="2" s="1" a="1"/>
  <c r="Y213" i="2" s="1"/>
  <c r="X214" i="2"/>
  <c r="Y214" i="2" s="1" a="1"/>
  <c r="Y214" i="2" s="1"/>
  <c r="X215" i="2"/>
  <c r="Y215" i="2" s="1" a="1"/>
  <c r="Y215" i="2" s="1"/>
  <c r="X216" i="2"/>
  <c r="Y216" i="2" s="1" a="1"/>
  <c r="Y216" i="2" s="1"/>
  <c r="X217" i="2"/>
  <c r="Y217" i="2" s="1" a="1"/>
  <c r="Y217" i="2" s="1"/>
  <c r="X218" i="2"/>
  <c r="Y218" i="2" s="1" a="1"/>
  <c r="Y218" i="2" s="1"/>
  <c r="X219" i="2"/>
  <c r="Y219" i="2" s="1" a="1"/>
  <c r="Y219" i="2" s="1"/>
  <c r="X220" i="2"/>
  <c r="Y220" i="2" s="1" a="1"/>
  <c r="Y220" i="2" s="1"/>
  <c r="X221" i="2"/>
  <c r="Y221" i="2" s="1" a="1"/>
  <c r="Y221" i="2" s="1"/>
  <c r="X222" i="2"/>
  <c r="Y222" i="2" s="1" a="1"/>
  <c r="Y222" i="2" s="1"/>
  <c r="X223" i="2"/>
  <c r="Y223" i="2" s="1" a="1"/>
  <c r="Y223" i="2" s="1"/>
  <c r="X224" i="2"/>
  <c r="Y224" i="2" s="1" a="1"/>
  <c r="Y224" i="2" s="1"/>
  <c r="X225" i="2"/>
  <c r="Y225" i="2" s="1" a="1"/>
  <c r="Y225" i="2" s="1"/>
  <c r="X226" i="2"/>
  <c r="Y226" i="2" s="1" a="1"/>
  <c r="Y226" i="2" s="1"/>
  <c r="X227" i="2"/>
  <c r="Y227" i="2" s="1" a="1"/>
  <c r="Y227" i="2" s="1"/>
  <c r="X228" i="2"/>
  <c r="Y228" i="2" s="1" a="1"/>
  <c r="Y228" i="2" s="1"/>
  <c r="X229" i="2"/>
  <c r="Y229" i="2" s="1" a="1"/>
  <c r="Y229" i="2" s="1"/>
  <c r="X230" i="2"/>
  <c r="Y230" i="2" s="1" a="1"/>
  <c r="Y230" i="2" s="1"/>
  <c r="X231" i="2"/>
  <c r="Y231" i="2" s="1" a="1"/>
  <c r="Y231" i="2" s="1"/>
  <c r="X232" i="2"/>
  <c r="Y232" i="2" s="1" a="1"/>
  <c r="Y232" i="2" s="1"/>
  <c r="X233" i="2"/>
  <c r="Y233" i="2" s="1" a="1"/>
  <c r="Y233" i="2" s="1"/>
  <c r="X234" i="2"/>
  <c r="Y234" i="2" s="1" a="1"/>
  <c r="Y234" i="2" s="1"/>
  <c r="X235" i="2"/>
  <c r="Y235" i="2" s="1" a="1"/>
  <c r="Y235" i="2" s="1"/>
  <c r="X236" i="2"/>
  <c r="Y236" i="2" s="1" a="1"/>
  <c r="Y236" i="2" s="1"/>
  <c r="X237" i="2"/>
  <c r="Y237" i="2" s="1" a="1"/>
  <c r="Y237" i="2" s="1"/>
  <c r="X238" i="2"/>
  <c r="Y238" i="2" s="1" a="1"/>
  <c r="Y238" i="2" s="1"/>
  <c r="X239" i="2"/>
  <c r="Y239" i="2" s="1" a="1"/>
  <c r="Y239" i="2" s="1"/>
  <c r="X240" i="2"/>
  <c r="Y240" i="2" s="1" a="1"/>
  <c r="Y240" i="2" s="1"/>
  <c r="X241" i="2"/>
  <c r="Y241" i="2" s="1" a="1"/>
  <c r="Y241" i="2" s="1"/>
  <c r="X242" i="2"/>
  <c r="Y242" i="2" s="1" a="1"/>
  <c r="Y242" i="2" s="1"/>
  <c r="X243" i="2"/>
  <c r="Y243" i="2" s="1" a="1"/>
  <c r="Y243" i="2" s="1"/>
  <c r="X244" i="2"/>
  <c r="Y244" i="2" s="1" a="1"/>
  <c r="Y244" i="2" s="1"/>
  <c r="X245" i="2"/>
  <c r="Y245" i="2" s="1" a="1"/>
  <c r="Y245" i="2" s="1"/>
  <c r="X246" i="2"/>
  <c r="Y246" i="2" s="1" a="1"/>
  <c r="Y246" i="2" s="1"/>
  <c r="X247" i="2"/>
  <c r="Z247" i="2" s="1"/>
  <c r="X248" i="2"/>
  <c r="Y248" i="2" s="1" a="1"/>
  <c r="Y248" i="2" s="1"/>
  <c r="X249" i="2"/>
  <c r="Y249" i="2" s="1" a="1"/>
  <c r="Y249" i="2" s="1"/>
  <c r="X250" i="2"/>
  <c r="Y250" i="2" s="1" a="1"/>
  <c r="Y250" i="2" s="1"/>
  <c r="X251" i="2"/>
  <c r="Y251" i="2" s="1" a="1"/>
  <c r="Y251" i="2" s="1"/>
  <c r="X252" i="2"/>
  <c r="Y252" i="2" s="1" a="1"/>
  <c r="Y252" i="2" s="1"/>
  <c r="X253" i="2"/>
  <c r="Y253" i="2" s="1" a="1"/>
  <c r="Y253" i="2" s="1"/>
  <c r="X254" i="2"/>
  <c r="Y254" i="2" s="1" a="1"/>
  <c r="Y254" i="2" s="1"/>
  <c r="X255" i="2"/>
  <c r="Y255" i="2" s="1" a="1"/>
  <c r="Y255" i="2" s="1"/>
  <c r="X256" i="2"/>
  <c r="Y256" i="2" s="1" a="1"/>
  <c r="Y256" i="2" s="1"/>
  <c r="X257" i="2"/>
  <c r="Y257" i="2" s="1" a="1"/>
  <c r="Y257" i="2" s="1"/>
  <c r="X258" i="2"/>
  <c r="Y258" i="2" s="1" a="1"/>
  <c r="Y258" i="2" s="1"/>
  <c r="X259" i="2"/>
  <c r="Y259" i="2" s="1" a="1"/>
  <c r="Y259" i="2" s="1"/>
  <c r="X260" i="2"/>
  <c r="Y260" i="2" s="1" a="1"/>
  <c r="Y260" i="2" s="1"/>
  <c r="X261" i="2"/>
  <c r="Y261" i="2" s="1" a="1"/>
  <c r="Y261" i="2" s="1"/>
  <c r="X262" i="2"/>
  <c r="Y262" i="2" s="1" a="1"/>
  <c r="Y262" i="2" s="1"/>
  <c r="X263" i="2"/>
  <c r="Y263" i="2" s="1" a="1"/>
  <c r="Y263" i="2" s="1"/>
  <c r="X264" i="2"/>
  <c r="Y264" i="2" s="1" a="1"/>
  <c r="Y264" i="2" s="1"/>
  <c r="X265" i="2"/>
  <c r="Y265" i="2" s="1" a="1"/>
  <c r="Y265" i="2" s="1"/>
  <c r="X266" i="2"/>
  <c r="Y266" i="2" s="1" a="1"/>
  <c r="Y266" i="2" s="1"/>
  <c r="X267" i="2"/>
  <c r="Y267" i="2" s="1" a="1"/>
  <c r="Y267" i="2" s="1"/>
  <c r="X268" i="2"/>
  <c r="Y268" i="2" s="1" a="1"/>
  <c r="Y268" i="2" s="1"/>
  <c r="X269" i="2"/>
  <c r="Y269" i="2" s="1" a="1"/>
  <c r="Y269" i="2" s="1"/>
  <c r="X270" i="2"/>
  <c r="Y270" i="2" s="1" a="1"/>
  <c r="Y270" i="2" s="1"/>
  <c r="X271" i="2"/>
  <c r="Y271" i="2" s="1" a="1"/>
  <c r="Y271" i="2" s="1"/>
  <c r="X272" i="2"/>
  <c r="Y272" i="2" s="1" a="1"/>
  <c r="Y272" i="2" s="1"/>
  <c r="X273" i="2"/>
  <c r="Y273" i="2" s="1" a="1"/>
  <c r="Y273" i="2" s="1"/>
  <c r="X274" i="2"/>
  <c r="Y274" i="2" s="1" a="1"/>
  <c r="Y274" i="2" s="1"/>
  <c r="X275" i="2"/>
  <c r="Y275" i="2" s="1" a="1"/>
  <c r="Y275" i="2" s="1"/>
  <c r="X276" i="2"/>
  <c r="Y276" i="2" s="1" a="1"/>
  <c r="Y276" i="2" s="1"/>
  <c r="X277" i="2"/>
  <c r="Y277" i="2" s="1" a="1"/>
  <c r="Y277" i="2" s="1"/>
  <c r="X278" i="2"/>
  <c r="Y278" i="2" s="1" a="1"/>
  <c r="Y278" i="2" s="1"/>
  <c r="X279" i="2"/>
  <c r="Y279" i="2" s="1" a="1"/>
  <c r="Y279" i="2" s="1"/>
  <c r="X280" i="2"/>
  <c r="Y280" i="2" s="1" a="1"/>
  <c r="Y280" i="2" s="1"/>
  <c r="X281" i="2"/>
  <c r="Y281" i="2" s="1" a="1"/>
  <c r="Y281" i="2" s="1"/>
  <c r="X282" i="2"/>
  <c r="Y282" i="2" s="1" a="1"/>
  <c r="Y282" i="2" s="1"/>
  <c r="X283" i="2"/>
  <c r="Y283" i="2" s="1" a="1"/>
  <c r="Y283" i="2" s="1"/>
  <c r="X284" i="2"/>
  <c r="Z284" i="2" s="1"/>
  <c r="X285" i="2"/>
  <c r="Y285" i="2" s="1" a="1"/>
  <c r="Y285" i="2" s="1"/>
  <c r="X286" i="2"/>
  <c r="Y286" i="2" s="1" a="1"/>
  <c r="Y286" i="2" s="1"/>
  <c r="X287" i="2"/>
  <c r="Y287" i="2" s="1" a="1"/>
  <c r="Y287" i="2" s="1"/>
  <c r="X288" i="2"/>
  <c r="Y288" i="2" s="1" a="1"/>
  <c r="Y288" i="2" s="1"/>
  <c r="X289" i="2"/>
  <c r="Y289" i="2" s="1" a="1"/>
  <c r="Y289" i="2" s="1"/>
  <c r="X290" i="2"/>
  <c r="Y290" i="2" s="1" a="1"/>
  <c r="Y290" i="2" s="1"/>
  <c r="X291" i="2"/>
  <c r="Y291" i="2" s="1" a="1"/>
  <c r="Y291" i="2" s="1"/>
  <c r="X292" i="2"/>
  <c r="Y292" i="2" s="1" a="1"/>
  <c r="Y292" i="2" s="1"/>
  <c r="X293" i="2"/>
  <c r="Y293" i="2" s="1" a="1"/>
  <c r="Y293" i="2" s="1"/>
  <c r="X294" i="2"/>
  <c r="Y294" i="2" s="1" a="1"/>
  <c r="Y294" i="2" s="1"/>
  <c r="X295" i="2"/>
  <c r="Y295" i="2" s="1" a="1"/>
  <c r="Y295" i="2" s="1"/>
  <c r="X296" i="2"/>
  <c r="Y296" i="2" s="1" a="1"/>
  <c r="Y296" i="2" s="1"/>
  <c r="X297" i="2"/>
  <c r="Y297" i="2" s="1" a="1"/>
  <c r="Y297" i="2" s="1"/>
  <c r="X298" i="2"/>
  <c r="Y298" i="2" s="1" a="1"/>
  <c r="Y298" i="2" s="1"/>
  <c r="X299" i="2"/>
  <c r="Y299" i="2" s="1" a="1"/>
  <c r="Y299" i="2" s="1"/>
  <c r="X300" i="2"/>
  <c r="Y300" i="2" s="1" a="1"/>
  <c r="Y300" i="2" s="1"/>
  <c r="X301" i="2"/>
  <c r="Y301" i="2" s="1" a="1"/>
  <c r="Y301" i="2" s="1"/>
  <c r="X302" i="2"/>
  <c r="Y302" i="2" s="1" a="1"/>
  <c r="Y302" i="2" s="1"/>
  <c r="X303" i="2"/>
  <c r="Y303" i="2" s="1" a="1"/>
  <c r="Y303" i="2" s="1"/>
  <c r="X304" i="2"/>
  <c r="Y304" i="2" s="1" a="1"/>
  <c r="Y304" i="2" s="1"/>
  <c r="X305" i="2"/>
  <c r="Y305" i="2" s="1" a="1"/>
  <c r="Y305" i="2" s="1"/>
  <c r="X306" i="2"/>
  <c r="Y306" i="2" s="1" a="1"/>
  <c r="Y306" i="2" s="1"/>
  <c r="X307" i="2"/>
  <c r="Y307" i="2" s="1" a="1"/>
  <c r="Y307" i="2" s="1"/>
  <c r="X308" i="2"/>
  <c r="Y308" i="2" s="1" a="1"/>
  <c r="Y308" i="2" s="1"/>
  <c r="X309" i="2"/>
  <c r="Y309" i="2" s="1" a="1"/>
  <c r="Y309" i="2" s="1"/>
  <c r="X310" i="2"/>
  <c r="Y310" i="2" s="1" a="1"/>
  <c r="Y310" i="2" s="1"/>
  <c r="X311" i="2"/>
  <c r="Y311" i="2" s="1" a="1"/>
  <c r="Y311" i="2" s="1"/>
  <c r="X312" i="2"/>
  <c r="Y312" i="2" s="1" a="1"/>
  <c r="Y312" i="2" s="1"/>
  <c r="X313" i="2"/>
  <c r="Y313" i="2" s="1" a="1"/>
  <c r="Y313" i="2" s="1"/>
  <c r="X314" i="2"/>
  <c r="Y314" i="2" s="1" a="1"/>
  <c r="Y314" i="2" s="1"/>
  <c r="X315" i="2"/>
  <c r="Y315" i="2" s="1" a="1"/>
  <c r="Y315" i="2" s="1"/>
  <c r="X316" i="2"/>
  <c r="Y316" i="2" s="1" a="1"/>
  <c r="Y316" i="2" s="1"/>
  <c r="X317" i="2"/>
  <c r="Y317" i="2" s="1" a="1"/>
  <c r="Y317" i="2" s="1"/>
  <c r="X318" i="2"/>
  <c r="Y318" i="2" s="1" a="1"/>
  <c r="Y318" i="2" s="1"/>
  <c r="X319" i="2"/>
  <c r="Y319" i="2" s="1" a="1"/>
  <c r="Y319" i="2" s="1"/>
  <c r="X320" i="2"/>
  <c r="Y320" i="2" s="1" a="1"/>
  <c r="Y320" i="2" s="1"/>
  <c r="X321" i="2"/>
  <c r="Y321" i="2" s="1" a="1"/>
  <c r="Y321" i="2" s="1"/>
  <c r="X322" i="2"/>
  <c r="Y322" i="2" s="1" a="1"/>
  <c r="Y322" i="2" s="1"/>
  <c r="X323" i="2"/>
  <c r="Y323" i="2" s="1" a="1"/>
  <c r="Y323" i="2" s="1"/>
  <c r="X324" i="2"/>
  <c r="Y324" i="2" s="1" a="1"/>
  <c r="Y324" i="2" s="1"/>
  <c r="X325" i="2"/>
  <c r="Y325" i="2" s="1" a="1"/>
  <c r="Y325" i="2" s="1"/>
  <c r="X326" i="2"/>
  <c r="Z326" i="2" s="1"/>
  <c r="X327" i="2"/>
  <c r="Y327" i="2" s="1" a="1"/>
  <c r="Y327" i="2" s="1"/>
  <c r="X328" i="2"/>
  <c r="Y328" i="2" s="1" a="1"/>
  <c r="Y328" i="2" s="1"/>
  <c r="X329" i="2"/>
  <c r="Y329" i="2" s="1" a="1"/>
  <c r="Y329" i="2" s="1"/>
  <c r="X330" i="2"/>
  <c r="Y330" i="2" s="1" a="1"/>
  <c r="Y330" i="2" s="1"/>
  <c r="X331" i="2"/>
  <c r="Y331" i="2" s="1" a="1"/>
  <c r="Y331" i="2" s="1"/>
  <c r="X332" i="2"/>
  <c r="Y332" i="2" s="1" a="1"/>
  <c r="Y332" i="2" s="1"/>
  <c r="X333" i="2"/>
  <c r="Y333" i="2" s="1" a="1"/>
  <c r="Y333" i="2" s="1"/>
  <c r="X334" i="2"/>
  <c r="Y334" i="2" s="1" a="1"/>
  <c r="Y334" i="2" s="1"/>
  <c r="X335" i="2"/>
  <c r="Y335" i="2" s="1" a="1"/>
  <c r="Y335" i="2" s="1"/>
  <c r="X336" i="2"/>
  <c r="Y336" i="2" s="1" a="1"/>
  <c r="Y336" i="2" s="1"/>
  <c r="X337" i="2"/>
  <c r="Y337" i="2" s="1" a="1"/>
  <c r="Y337" i="2" s="1"/>
  <c r="X338" i="2"/>
  <c r="Y338" i="2" s="1" a="1"/>
  <c r="Y338" i="2" s="1"/>
  <c r="X339" i="2"/>
  <c r="Y339" i="2" s="1" a="1"/>
  <c r="Y339" i="2" s="1"/>
  <c r="X340" i="2"/>
  <c r="Y340" i="2" s="1" a="1"/>
  <c r="Y340" i="2" s="1"/>
  <c r="X341" i="2"/>
  <c r="Y341" i="2" s="1" a="1"/>
  <c r="Y341" i="2" s="1"/>
  <c r="X342" i="2"/>
  <c r="Y342" i="2" s="1" a="1"/>
  <c r="Y342" i="2" s="1"/>
  <c r="X343" i="2"/>
  <c r="Y343" i="2" s="1" a="1"/>
  <c r="Y343" i="2" s="1"/>
  <c r="X344" i="2"/>
  <c r="Y344" i="2" s="1" a="1"/>
  <c r="Y344" i="2" s="1"/>
  <c r="X345" i="2"/>
  <c r="Y345" i="2" s="1" a="1"/>
  <c r="Y345" i="2" s="1"/>
  <c r="X346" i="2"/>
  <c r="Y346" i="2" s="1" a="1"/>
  <c r="Y346" i="2" s="1"/>
  <c r="X347" i="2"/>
  <c r="Y347" i="2" s="1" a="1"/>
  <c r="Y347" i="2" s="1"/>
  <c r="X348" i="2"/>
  <c r="Y348" i="2" s="1" a="1"/>
  <c r="Y348" i="2" s="1"/>
  <c r="X349" i="2"/>
  <c r="Y349" i="2" s="1" a="1"/>
  <c r="Y349" i="2" s="1"/>
  <c r="X350" i="2"/>
  <c r="Y350" i="2" s="1" a="1"/>
  <c r="Y350" i="2" s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Y212" i="2" l="1" a="1"/>
  <c r="Y212" i="2" s="1"/>
  <c r="Z80" i="2"/>
  <c r="Z304" i="2"/>
  <c r="Z48" i="2"/>
  <c r="Z272" i="2"/>
  <c r="Z16" i="2"/>
  <c r="Z240" i="2"/>
  <c r="Z208" i="2"/>
  <c r="Z176" i="2"/>
  <c r="Z144" i="2"/>
  <c r="Z112" i="2"/>
  <c r="Z336" i="2"/>
  <c r="Z329" i="2"/>
  <c r="Z233" i="2"/>
  <c r="Z73" i="2"/>
  <c r="Z9" i="2"/>
  <c r="Y205" i="2" a="1"/>
  <c r="Y205" i="2" s="1"/>
  <c r="Z328" i="2"/>
  <c r="Z296" i="2"/>
  <c r="Z264" i="2"/>
  <c r="Z232" i="2"/>
  <c r="Z200" i="2"/>
  <c r="Z168" i="2"/>
  <c r="Z136" i="2"/>
  <c r="Z104" i="2"/>
  <c r="Z72" i="2"/>
  <c r="Z40" i="2"/>
  <c r="Z8" i="2"/>
  <c r="Z297" i="2"/>
  <c r="Z41" i="2"/>
  <c r="Y36" i="2" a="1"/>
  <c r="Y36" i="2" s="1"/>
  <c r="Z321" i="2"/>
  <c r="Z289" i="2"/>
  <c r="Z257" i="2"/>
  <c r="Z225" i="2"/>
  <c r="Z193" i="2"/>
  <c r="Z161" i="2"/>
  <c r="Z129" i="2"/>
  <c r="Z97" i="2"/>
  <c r="Z65" i="2"/>
  <c r="Z33" i="2"/>
  <c r="Z201" i="2"/>
  <c r="Y29" i="2" a="1"/>
  <c r="Y29" i="2" s="1"/>
  <c r="Z320" i="2"/>
  <c r="Z288" i="2"/>
  <c r="Z256" i="2"/>
  <c r="Z224" i="2"/>
  <c r="Z192" i="2"/>
  <c r="Z160" i="2"/>
  <c r="Z128" i="2"/>
  <c r="Z96" i="2"/>
  <c r="Z64" i="2"/>
  <c r="Z32" i="2"/>
  <c r="Z169" i="2"/>
  <c r="Z345" i="2"/>
  <c r="Z313" i="2"/>
  <c r="Z281" i="2"/>
  <c r="Z249" i="2"/>
  <c r="Z217" i="2"/>
  <c r="Z185" i="2"/>
  <c r="Z153" i="2"/>
  <c r="Z121" i="2"/>
  <c r="Z89" i="2"/>
  <c r="Z57" i="2"/>
  <c r="Z25" i="2"/>
  <c r="Z265" i="2"/>
  <c r="Z105" i="2"/>
  <c r="Z344" i="2"/>
  <c r="Z312" i="2"/>
  <c r="Z280" i="2"/>
  <c r="Z248" i="2"/>
  <c r="Z216" i="2"/>
  <c r="Z184" i="2"/>
  <c r="Z152" i="2"/>
  <c r="Z120" i="2"/>
  <c r="Z88" i="2"/>
  <c r="Z56" i="2"/>
  <c r="Z24" i="2"/>
  <c r="Z137" i="2"/>
  <c r="Z337" i="2"/>
  <c r="Z305" i="2"/>
  <c r="Z273" i="2"/>
  <c r="Z241" i="2"/>
  <c r="Z209" i="2"/>
  <c r="Z177" i="2"/>
  <c r="Z145" i="2"/>
  <c r="Z113" i="2"/>
  <c r="Z81" i="2"/>
  <c r="Z49" i="2"/>
  <c r="Z17" i="2"/>
  <c r="Y247" i="2" a="1"/>
  <c r="Y247" i="2" s="1"/>
  <c r="Y103" i="2" a="1"/>
  <c r="Y103" i="2" s="1"/>
  <c r="Z346" i="2"/>
  <c r="Z338" i="2"/>
  <c r="Z330" i="2"/>
  <c r="Z322" i="2"/>
  <c r="Z314" i="2"/>
  <c r="Z306" i="2"/>
  <c r="Z298" i="2"/>
  <c r="Z290" i="2"/>
  <c r="Z282" i="2"/>
  <c r="Z274" i="2"/>
  <c r="Z266" i="2"/>
  <c r="Z258" i="2"/>
  <c r="Z250" i="2"/>
  <c r="Z242" i="2"/>
  <c r="Z234" i="2"/>
  <c r="Z226" i="2"/>
  <c r="Z218" i="2"/>
  <c r="Z210" i="2"/>
  <c r="Z202" i="2"/>
  <c r="Z194" i="2"/>
  <c r="Z186" i="2"/>
  <c r="Z178" i="2"/>
  <c r="Z170" i="2"/>
  <c r="Z162" i="2"/>
  <c r="Z154" i="2"/>
  <c r="Z146" i="2"/>
  <c r="Z138" i="2"/>
  <c r="Z130" i="2"/>
  <c r="Z122" i="2"/>
  <c r="Z114" i="2"/>
  <c r="Z106" i="2"/>
  <c r="Z98" i="2"/>
  <c r="Z90" i="2"/>
  <c r="Z82" i="2"/>
  <c r="Z74" i="2"/>
  <c r="Z66" i="2"/>
  <c r="Z58" i="2"/>
  <c r="Z50" i="2"/>
  <c r="Z42" i="2"/>
  <c r="Z34" i="2"/>
  <c r="Z26" i="2"/>
  <c r="Z18" i="2"/>
  <c r="Z10" i="2"/>
  <c r="Y326" i="2" a="1"/>
  <c r="Y326" i="2" s="1"/>
  <c r="Z2" i="2"/>
  <c r="Z343" i="2"/>
  <c r="Z335" i="2"/>
  <c r="Z327" i="2"/>
  <c r="Z319" i="2"/>
  <c r="Z311" i="2"/>
  <c r="Z303" i="2"/>
  <c r="Z295" i="2"/>
  <c r="Z287" i="2"/>
  <c r="Z279" i="2"/>
  <c r="Z271" i="2"/>
  <c r="Z263" i="2"/>
  <c r="Z255" i="2"/>
  <c r="Z239" i="2"/>
  <c r="Z231" i="2"/>
  <c r="Z223" i="2"/>
  <c r="Z215" i="2"/>
  <c r="Z207" i="2"/>
  <c r="Z199" i="2"/>
  <c r="Z191" i="2"/>
  <c r="Z183" i="2"/>
  <c r="Z175" i="2"/>
  <c r="Z167" i="2"/>
  <c r="Z159" i="2"/>
  <c r="Z151" i="2"/>
  <c r="Z143" i="2"/>
  <c r="Z135" i="2"/>
  <c r="Z127" i="2"/>
  <c r="Z119" i="2"/>
  <c r="Z111" i="2"/>
  <c r="Z95" i="2"/>
  <c r="Z87" i="2"/>
  <c r="Z79" i="2"/>
  <c r="Z71" i="2"/>
  <c r="Z63" i="2"/>
  <c r="Z55" i="2"/>
  <c r="Z47" i="2"/>
  <c r="Z39" i="2"/>
  <c r="Z31" i="2"/>
  <c r="Z23" i="2"/>
  <c r="Z15" i="2"/>
  <c r="Z7" i="2"/>
  <c r="Z350" i="2"/>
  <c r="Z342" i="2"/>
  <c r="Z334" i="2"/>
  <c r="Z318" i="2"/>
  <c r="Z310" i="2"/>
  <c r="Z302" i="2"/>
  <c r="Z294" i="2"/>
  <c r="Z286" i="2"/>
  <c r="Z278" i="2"/>
  <c r="Z270" i="2"/>
  <c r="Z262" i="2"/>
  <c r="Z254" i="2"/>
  <c r="Z246" i="2"/>
  <c r="Z238" i="2"/>
  <c r="Z230" i="2"/>
  <c r="Z222" i="2"/>
  <c r="Z214" i="2"/>
  <c r="Z206" i="2"/>
  <c r="Z198" i="2"/>
  <c r="Z190" i="2"/>
  <c r="Z182" i="2"/>
  <c r="Z174" i="2"/>
  <c r="Z166" i="2"/>
  <c r="Z158" i="2"/>
  <c r="Z150" i="2"/>
  <c r="Z142" i="2"/>
  <c r="Z134" i="2"/>
  <c r="Z126" i="2"/>
  <c r="Z118" i="2"/>
  <c r="Z110" i="2"/>
  <c r="Z102" i="2"/>
  <c r="Z94" i="2"/>
  <c r="Z86" i="2"/>
  <c r="Z78" i="2"/>
  <c r="Z70" i="2"/>
  <c r="Z62" i="2"/>
  <c r="Z54" i="2"/>
  <c r="Z46" i="2"/>
  <c r="Z38" i="2"/>
  <c r="Z30" i="2"/>
  <c r="Z22" i="2"/>
  <c r="Z14" i="2"/>
  <c r="Z6" i="2"/>
  <c r="Z349" i="2"/>
  <c r="Z341" i="2"/>
  <c r="Z333" i="2"/>
  <c r="Z325" i="2"/>
  <c r="Z317" i="2"/>
  <c r="Z309" i="2"/>
  <c r="Z301" i="2"/>
  <c r="Z293" i="2"/>
  <c r="Z285" i="2"/>
  <c r="Z277" i="2"/>
  <c r="Z269" i="2"/>
  <c r="Z261" i="2"/>
  <c r="Z253" i="2"/>
  <c r="Z245" i="2"/>
  <c r="Z237" i="2"/>
  <c r="Z229" i="2"/>
  <c r="Z221" i="2"/>
  <c r="Z213" i="2"/>
  <c r="Z197" i="2"/>
  <c r="Z189" i="2"/>
  <c r="Z181" i="2"/>
  <c r="Z173" i="2"/>
  <c r="Z165" i="2"/>
  <c r="Z157" i="2"/>
  <c r="Z149" i="2"/>
  <c r="Z141" i="2"/>
  <c r="Z133" i="2"/>
  <c r="Z125" i="2"/>
  <c r="Z117" i="2"/>
  <c r="Z109" i="2"/>
  <c r="Z101" i="2"/>
  <c r="Z93" i="2"/>
  <c r="Z85" i="2"/>
  <c r="Z77" i="2"/>
  <c r="Z69" i="2"/>
  <c r="Z61" i="2"/>
  <c r="Z53" i="2"/>
  <c r="Z45" i="2"/>
  <c r="Z37" i="2"/>
  <c r="Z21" i="2"/>
  <c r="Z13" i="2"/>
  <c r="Z5" i="2"/>
  <c r="Y284" i="2" a="1"/>
  <c r="Y284" i="2" s="1"/>
  <c r="Z348" i="2"/>
  <c r="Z340" i="2"/>
  <c r="Z332" i="2"/>
  <c r="Z324" i="2"/>
  <c r="Z316" i="2"/>
  <c r="Z308" i="2"/>
  <c r="Z300" i="2"/>
  <c r="Z292" i="2"/>
  <c r="Z276" i="2"/>
  <c r="Z268" i="2"/>
  <c r="Z260" i="2"/>
  <c r="Z252" i="2"/>
  <c r="Z244" i="2"/>
  <c r="Z236" i="2"/>
  <c r="Z228" i="2"/>
  <c r="Z220" i="2"/>
  <c r="Z204" i="2"/>
  <c r="Z196" i="2"/>
  <c r="Z188" i="2"/>
  <c r="Z180" i="2"/>
  <c r="Z172" i="2"/>
  <c r="Z164" i="2"/>
  <c r="Z156" i="2"/>
  <c r="Z148" i="2"/>
  <c r="Z140" i="2"/>
  <c r="Z132" i="2"/>
  <c r="Z124" i="2"/>
  <c r="Z116" i="2"/>
  <c r="Z108" i="2"/>
  <c r="Z100" i="2"/>
  <c r="Z92" i="2"/>
  <c r="Z84" i="2"/>
  <c r="Z76" i="2"/>
  <c r="Z68" i="2"/>
  <c r="Z60" i="2"/>
  <c r="Z52" i="2"/>
  <c r="Z44" i="2"/>
  <c r="Z28" i="2"/>
  <c r="Z20" i="2"/>
  <c r="Z12" i="2"/>
  <c r="Z4" i="2"/>
  <c r="Z347" i="2"/>
  <c r="Z339" i="2"/>
  <c r="Z331" i="2"/>
  <c r="Z323" i="2"/>
  <c r="Z315" i="2"/>
  <c r="Z307" i="2"/>
  <c r="Z299" i="2"/>
  <c r="Z291" i="2"/>
  <c r="Z283" i="2"/>
  <c r="Z275" i="2"/>
  <c r="Z267" i="2"/>
  <c r="Z259" i="2"/>
  <c r="Z251" i="2"/>
  <c r="Z243" i="2"/>
  <c r="Z235" i="2"/>
  <c r="Z227" i="2"/>
  <c r="Z219" i="2"/>
  <c r="Z211" i="2"/>
  <c r="Z203" i="2"/>
  <c r="Z195" i="2"/>
  <c r="Z187" i="2"/>
  <c r="Z179" i="2"/>
  <c r="Z171" i="2"/>
  <c r="Z163" i="2"/>
  <c r="Z155" i="2"/>
  <c r="Z147" i="2"/>
  <c r="Z139" i="2"/>
  <c r="Z131" i="2"/>
  <c r="Z123" i="2"/>
  <c r="Z115" i="2"/>
  <c r="Z107" i="2"/>
  <c r="Z99" i="2"/>
  <c r="Z91" i="2"/>
  <c r="Z83" i="2"/>
  <c r="Z75" i="2"/>
  <c r="Z67" i="2"/>
  <c r="Z59" i="2"/>
  <c r="Z51" i="2"/>
  <c r="Z43" i="2"/>
  <c r="Z35" i="2"/>
  <c r="Z27" i="2"/>
  <c r="Z19" i="2"/>
  <c r="Z11" i="2"/>
  <c r="Z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DC0EFF-0C3A-41D5-9161-3A9B06B09065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<sst xmlns="http://schemas.openxmlformats.org/spreadsheetml/2006/main" count="4918" uniqueCount="1440">
  <si>
    <t>Student ID</t>
  </si>
  <si>
    <t>First Name</t>
  </si>
  <si>
    <t>Last Name</t>
  </si>
  <si>
    <t>Email</t>
  </si>
  <si>
    <t>Gender</t>
  </si>
  <si>
    <t>Date of Birth</t>
  </si>
  <si>
    <t>Nationality</t>
  </si>
  <si>
    <t>Enrollment Year</t>
  </si>
  <si>
    <t>Faculty</t>
  </si>
  <si>
    <t>Department</t>
  </si>
  <si>
    <t>Current Year of Study</t>
  </si>
  <si>
    <t>Status</t>
  </si>
  <si>
    <t>Course Code</t>
  </si>
  <si>
    <t>Course Name</t>
  </si>
  <si>
    <t>Course Credits</t>
  </si>
  <si>
    <t>Lecture ID</t>
  </si>
  <si>
    <t>Lecture Name</t>
  </si>
  <si>
    <t>Semester</t>
  </si>
  <si>
    <t>Academic Year</t>
  </si>
  <si>
    <t>Assignment 1 Score</t>
  </si>
  <si>
    <t>Assignment 2 Score</t>
  </si>
  <si>
    <t>Midterm Exam Score</t>
  </si>
  <si>
    <t>Overall Grade</t>
  </si>
  <si>
    <t>Grade Point</t>
  </si>
  <si>
    <t>Attendance Rate</t>
  </si>
  <si>
    <t>Tuition Fee</t>
  </si>
  <si>
    <t>Scholarship Amount</t>
  </si>
  <si>
    <t>Fee Status</t>
  </si>
  <si>
    <t>S1000</t>
  </si>
  <si>
    <t>Fall</t>
  </si>
  <si>
    <t>2023</t>
  </si>
  <si>
    <t>Paid</t>
  </si>
  <si>
    <t>Male</t>
  </si>
  <si>
    <t>Canada</t>
  </si>
  <si>
    <t>Science</t>
  </si>
  <si>
    <t>Biology</t>
  </si>
  <si>
    <t>BI201</t>
  </si>
  <si>
    <t>Advanced Biology</t>
  </si>
  <si>
    <t>L002</t>
  </si>
  <si>
    <t>Prof. Nisha Patel</t>
  </si>
  <si>
    <t>Spring</t>
  </si>
  <si>
    <t>2021</t>
  </si>
  <si>
    <t>S1001</t>
  </si>
  <si>
    <t>Female</t>
  </si>
  <si>
    <t>UK</t>
  </si>
  <si>
    <t>Business</t>
  </si>
  <si>
    <t>Management</t>
  </si>
  <si>
    <t>MA202</t>
  </si>
  <si>
    <t>Advanced Management</t>
  </si>
  <si>
    <t>L003</t>
  </si>
  <si>
    <t>Dr. Ben Carter</t>
  </si>
  <si>
    <t>2022</t>
  </si>
  <si>
    <t>S1002</t>
  </si>
  <si>
    <t>Germany</t>
  </si>
  <si>
    <t>Arts</t>
  </si>
  <si>
    <t>Psychology</t>
  </si>
  <si>
    <t>PS203</t>
  </si>
  <si>
    <t>Advanced Psychology</t>
  </si>
  <si>
    <t>L004</t>
  </si>
  <si>
    <t>Prof. Clara Miles</t>
  </si>
  <si>
    <t>Due</t>
  </si>
  <si>
    <t>S1003</t>
  </si>
  <si>
    <t>France</t>
  </si>
  <si>
    <t>Medicine</t>
  </si>
  <si>
    <t>Neuroscience</t>
  </si>
  <si>
    <t>NE204</t>
  </si>
  <si>
    <t>Advanced Neuroscience</t>
  </si>
  <si>
    <t>L005</t>
  </si>
  <si>
    <t>Dr. Samuel Jones</t>
  </si>
  <si>
    <t>2024</t>
  </si>
  <si>
    <t>S1004</t>
  </si>
  <si>
    <t>China</t>
  </si>
  <si>
    <t>Engineering</t>
  </si>
  <si>
    <t>Mechanical</t>
  </si>
  <si>
    <t>ME205</t>
  </si>
  <si>
    <t>Advanced Mechanical</t>
  </si>
  <si>
    <t>L006</t>
  </si>
  <si>
    <t>Dr. Hannah Lee</t>
  </si>
  <si>
    <t>2020</t>
  </si>
  <si>
    <t>S1005</t>
  </si>
  <si>
    <t>India</t>
  </si>
  <si>
    <t>BI206</t>
  </si>
  <si>
    <t>L007</t>
  </si>
  <si>
    <t>Prof. David Zhang</t>
  </si>
  <si>
    <t>S1006</t>
  </si>
  <si>
    <t>Japan</t>
  </si>
  <si>
    <t>Accounting</t>
  </si>
  <si>
    <t>AC207</t>
  </si>
  <si>
    <t>Advanced Accounting</t>
  </si>
  <si>
    <t>L001</t>
  </si>
  <si>
    <t>Dr. Aris Thorne</t>
  </si>
  <si>
    <t>S1007</t>
  </si>
  <si>
    <t>Australia</t>
  </si>
  <si>
    <t>History</t>
  </si>
  <si>
    <t>HI208</t>
  </si>
  <si>
    <t>Advanced History</t>
  </si>
  <si>
    <t>S1008</t>
  </si>
  <si>
    <t>Brazil</t>
  </si>
  <si>
    <t>Pharmacology</t>
  </si>
  <si>
    <t>PH209</t>
  </si>
  <si>
    <t>Advanced Pharmacology</t>
  </si>
  <si>
    <t>S1009</t>
  </si>
  <si>
    <t>Mexico</t>
  </si>
  <si>
    <t>ME210</t>
  </si>
  <si>
    <t>S1010</t>
  </si>
  <si>
    <t>South Korea</t>
  </si>
  <si>
    <t>BI211</t>
  </si>
  <si>
    <t>S1011</t>
  </si>
  <si>
    <t>Spain</t>
  </si>
  <si>
    <t>Finance</t>
  </si>
  <si>
    <t>FI212</t>
  </si>
  <si>
    <t>Advanced Finance</t>
  </si>
  <si>
    <t>S1012</t>
  </si>
  <si>
    <t>Italy</t>
  </si>
  <si>
    <t>English Literature</t>
  </si>
  <si>
    <t>EN213</t>
  </si>
  <si>
    <t>Advanced English Literature</t>
  </si>
  <si>
    <t>S1013</t>
  </si>
  <si>
    <t>Dubois</t>
  </si>
  <si>
    <t>Russia</t>
  </si>
  <si>
    <t>Biochemistry</t>
  </si>
  <si>
    <t>BI214</t>
  </si>
  <si>
    <t>Advanced Biochemistry</t>
  </si>
  <si>
    <t>S1014</t>
  </si>
  <si>
    <t>Nigeria</t>
  </si>
  <si>
    <t>ME215</t>
  </si>
  <si>
    <t>S1015</t>
  </si>
  <si>
    <t>Egypt</t>
  </si>
  <si>
    <t>BI216</t>
  </si>
  <si>
    <t>S1016</t>
  </si>
  <si>
    <t>USA</t>
  </si>
  <si>
    <t>Marketing</t>
  </si>
  <si>
    <t>MA217</t>
  </si>
  <si>
    <t>Advanced Marketing</t>
  </si>
  <si>
    <t>S1017</t>
  </si>
  <si>
    <t>Sociology</t>
  </si>
  <si>
    <t>SO218</t>
  </si>
  <si>
    <t>Advanced Sociology</t>
  </si>
  <si>
    <t>S1018</t>
  </si>
  <si>
    <t>NE219</t>
  </si>
  <si>
    <t>S1019</t>
  </si>
  <si>
    <t>ME220</t>
  </si>
  <si>
    <t>S1020</t>
  </si>
  <si>
    <t>BI221</t>
  </si>
  <si>
    <t>S1021</t>
  </si>
  <si>
    <t>MA222</t>
  </si>
  <si>
    <t>S1022</t>
  </si>
  <si>
    <t>PS223</t>
  </si>
  <si>
    <t>S1023</t>
  </si>
  <si>
    <t>PH224</t>
  </si>
  <si>
    <t>S1024</t>
  </si>
  <si>
    <t>ME225</t>
  </si>
  <si>
    <t>S1025</t>
  </si>
  <si>
    <t>BI226</t>
  </si>
  <si>
    <t>S1026</t>
  </si>
  <si>
    <t>AC227</t>
  </si>
  <si>
    <t>S1027</t>
  </si>
  <si>
    <t>HI228</t>
  </si>
  <si>
    <t>S1028</t>
  </si>
  <si>
    <t>BI229</t>
  </si>
  <si>
    <t>S1029</t>
  </si>
  <si>
    <t>ME230</t>
  </si>
  <si>
    <t>S1030</t>
  </si>
  <si>
    <t>BI231</t>
  </si>
  <si>
    <t>S1031</t>
  </si>
  <si>
    <t>FI232</t>
  </si>
  <si>
    <t>S1032</t>
  </si>
  <si>
    <t>EN233</t>
  </si>
  <si>
    <t>S1033</t>
  </si>
  <si>
    <t>NE234</t>
  </si>
  <si>
    <t>S1034</t>
  </si>
  <si>
    <t>ME235</t>
  </si>
  <si>
    <t>S1035</t>
  </si>
  <si>
    <t>BI236</t>
  </si>
  <si>
    <t>S1036</t>
  </si>
  <si>
    <t>MA237</t>
  </si>
  <si>
    <t>S1037</t>
  </si>
  <si>
    <t>SO238</t>
  </si>
  <si>
    <t>S1038</t>
  </si>
  <si>
    <t>PH239</t>
  </si>
  <si>
    <t>S1039</t>
  </si>
  <si>
    <t>ME240</t>
  </si>
  <si>
    <t>S1040</t>
  </si>
  <si>
    <t>BI241</t>
  </si>
  <si>
    <t>S1041</t>
  </si>
  <si>
    <t>MA242</t>
  </si>
  <si>
    <t>S1042</t>
  </si>
  <si>
    <t>PS243</t>
  </si>
  <si>
    <t>S1043</t>
  </si>
  <si>
    <t>BI244</t>
  </si>
  <si>
    <t>S1044</t>
  </si>
  <si>
    <t>ME245</t>
  </si>
  <si>
    <t>S1045</t>
  </si>
  <si>
    <t>BI246</t>
  </si>
  <si>
    <t>S1046</t>
  </si>
  <si>
    <t>AC247</t>
  </si>
  <si>
    <t>S1047</t>
  </si>
  <si>
    <t>HI248</t>
  </si>
  <si>
    <t>S1048</t>
  </si>
  <si>
    <t>NE249</t>
  </si>
  <si>
    <t>S1049</t>
  </si>
  <si>
    <t>ME250</t>
  </si>
  <si>
    <t>S1050</t>
  </si>
  <si>
    <t>BI251</t>
  </si>
  <si>
    <t>S1051</t>
  </si>
  <si>
    <t>FI252</t>
  </si>
  <si>
    <t>S1052</t>
  </si>
  <si>
    <t>EN253</t>
  </si>
  <si>
    <t>S1053</t>
  </si>
  <si>
    <t>PH254</t>
  </si>
  <si>
    <t>S1054</t>
  </si>
  <si>
    <t>ME255</t>
  </si>
  <si>
    <t>S1055</t>
  </si>
  <si>
    <t>BI256</t>
  </si>
  <si>
    <t>S1056</t>
  </si>
  <si>
    <t>MA257</t>
  </si>
  <si>
    <t>S1057</t>
  </si>
  <si>
    <t>SO258</t>
  </si>
  <si>
    <t>S1058</t>
  </si>
  <si>
    <t>BI259</t>
  </si>
  <si>
    <t>S1059</t>
  </si>
  <si>
    <t>ME260</t>
  </si>
  <si>
    <t>S1060</t>
  </si>
  <si>
    <t>BI261</t>
  </si>
  <si>
    <t>S1061</t>
  </si>
  <si>
    <t>MA262</t>
  </si>
  <si>
    <t>S1062</t>
  </si>
  <si>
    <t>PS263</t>
  </si>
  <si>
    <t>S1063</t>
  </si>
  <si>
    <t>NE264</t>
  </si>
  <si>
    <t>S1064</t>
  </si>
  <si>
    <t>ME265</t>
  </si>
  <si>
    <t>S1065</t>
  </si>
  <si>
    <t>BI266</t>
  </si>
  <si>
    <t>S1066</t>
  </si>
  <si>
    <t>AC267</t>
  </si>
  <si>
    <t>S1067</t>
  </si>
  <si>
    <t>HI268</t>
  </si>
  <si>
    <t>S1068</t>
  </si>
  <si>
    <t>PH269</t>
  </si>
  <si>
    <t>S1069</t>
  </si>
  <si>
    <t>ME270</t>
  </si>
  <si>
    <t>S1070</t>
  </si>
  <si>
    <t>BI271</t>
  </si>
  <si>
    <t>S1071</t>
  </si>
  <si>
    <t>FI272</t>
  </si>
  <si>
    <t>S1072</t>
  </si>
  <si>
    <t>EN273</t>
  </si>
  <si>
    <t>S1073</t>
  </si>
  <si>
    <t>BI274</t>
  </si>
  <si>
    <t>S1074</t>
  </si>
  <si>
    <t>ME275</t>
  </si>
  <si>
    <t>S1075</t>
  </si>
  <si>
    <t>BI276</t>
  </si>
  <si>
    <t>S1076</t>
  </si>
  <si>
    <t>MA277</t>
  </si>
  <si>
    <t>S1077</t>
  </si>
  <si>
    <t>SO278</t>
  </si>
  <si>
    <t>S1078</t>
  </si>
  <si>
    <t>NE279</t>
  </si>
  <si>
    <t>S1079</t>
  </si>
  <si>
    <t>ME280</t>
  </si>
  <si>
    <t>S1080</t>
  </si>
  <si>
    <t>BI281</t>
  </si>
  <si>
    <t>S1081</t>
  </si>
  <si>
    <t>MA282</t>
  </si>
  <si>
    <t>S1082</t>
  </si>
  <si>
    <t>PS283</t>
  </si>
  <si>
    <t>S1083</t>
  </si>
  <si>
    <t>PH284</t>
  </si>
  <si>
    <t>S1084</t>
  </si>
  <si>
    <t>ME285</t>
  </si>
  <si>
    <t>S1085</t>
  </si>
  <si>
    <t>BI286</t>
  </si>
  <si>
    <t>S1086</t>
  </si>
  <si>
    <t>AC287</t>
  </si>
  <si>
    <t>S1087</t>
  </si>
  <si>
    <t>HI288</t>
  </si>
  <si>
    <t>S1088</t>
  </si>
  <si>
    <t>BI289</t>
  </si>
  <si>
    <t>S1089</t>
  </si>
  <si>
    <t>ME290</t>
  </si>
  <si>
    <t>S1090</t>
  </si>
  <si>
    <t>BI291</t>
  </si>
  <si>
    <t>S1091</t>
  </si>
  <si>
    <t>FI292</t>
  </si>
  <si>
    <t>S1092</t>
  </si>
  <si>
    <t>EN293</t>
  </si>
  <si>
    <t>S1093</t>
  </si>
  <si>
    <t>NE294</t>
  </si>
  <si>
    <t>S1094</t>
  </si>
  <si>
    <t>ME295</t>
  </si>
  <si>
    <t>S1095</t>
  </si>
  <si>
    <t>BI296</t>
  </si>
  <si>
    <t>S1096</t>
  </si>
  <si>
    <t>MA297</t>
  </si>
  <si>
    <t>S1097</t>
  </si>
  <si>
    <t>SO298</t>
  </si>
  <si>
    <t>S1098</t>
  </si>
  <si>
    <t>PH299</t>
  </si>
  <si>
    <t>S1099</t>
  </si>
  <si>
    <t>ME300</t>
  </si>
  <si>
    <t>S1100</t>
  </si>
  <si>
    <t>BI301</t>
  </si>
  <si>
    <t>S1101</t>
  </si>
  <si>
    <t>MA302</t>
  </si>
  <si>
    <t>S1102</t>
  </si>
  <si>
    <t>PS303</t>
  </si>
  <si>
    <t>S1103</t>
  </si>
  <si>
    <t>BI304</t>
  </si>
  <si>
    <t>S1104</t>
  </si>
  <si>
    <t>ME305</t>
  </si>
  <si>
    <t>S1105</t>
  </si>
  <si>
    <t>BI306</t>
  </si>
  <si>
    <t>S1106</t>
  </si>
  <si>
    <t>AC307</t>
  </si>
  <si>
    <t>S1107</t>
  </si>
  <si>
    <t>HI308</t>
  </si>
  <si>
    <t>S1108</t>
  </si>
  <si>
    <t>NE309</t>
  </si>
  <si>
    <t>S1109</t>
  </si>
  <si>
    <t>ME310</t>
  </si>
  <si>
    <t>S1110</t>
  </si>
  <si>
    <t>BI311</t>
  </si>
  <si>
    <t>S1111</t>
  </si>
  <si>
    <t>FI312</t>
  </si>
  <si>
    <t>S1112</t>
  </si>
  <si>
    <t>EN313</t>
  </si>
  <si>
    <t>S1113</t>
  </si>
  <si>
    <t>PH314</t>
  </si>
  <si>
    <t>S1114</t>
  </si>
  <si>
    <t>ME315</t>
  </si>
  <si>
    <t>S1115</t>
  </si>
  <si>
    <t>BI316</t>
  </si>
  <si>
    <t>S1116</t>
  </si>
  <si>
    <t>MA317</t>
  </si>
  <si>
    <t>S1117</t>
  </si>
  <si>
    <t>SO318</t>
  </si>
  <si>
    <t>S1118</t>
  </si>
  <si>
    <t>BI319</t>
  </si>
  <si>
    <t>S1119</t>
  </si>
  <si>
    <t>ME320</t>
  </si>
  <si>
    <t>S1120</t>
  </si>
  <si>
    <t>BI321</t>
  </si>
  <si>
    <t>S1121</t>
  </si>
  <si>
    <t>MA322</t>
  </si>
  <si>
    <t>S1122</t>
  </si>
  <si>
    <t>PS323</t>
  </si>
  <si>
    <t>S1123</t>
  </si>
  <si>
    <t>NE324</t>
  </si>
  <si>
    <t>S1124</t>
  </si>
  <si>
    <t>ME325</t>
  </si>
  <si>
    <t>S1125</t>
  </si>
  <si>
    <t>BI326</t>
  </si>
  <si>
    <t>S1126</t>
  </si>
  <si>
    <t>AC327</t>
  </si>
  <si>
    <t>S1127</t>
  </si>
  <si>
    <t>HI328</t>
  </si>
  <si>
    <t>S1128</t>
  </si>
  <si>
    <t>PH329</t>
  </si>
  <si>
    <t>S1129</t>
  </si>
  <si>
    <t>ME330</t>
  </si>
  <si>
    <t>S1130</t>
  </si>
  <si>
    <t>BI331</t>
  </si>
  <si>
    <t>S1131</t>
  </si>
  <si>
    <t>FI332</t>
  </si>
  <si>
    <t>S1132</t>
  </si>
  <si>
    <t>EN333</t>
  </si>
  <si>
    <t>S1133</t>
  </si>
  <si>
    <t>BI334</t>
  </si>
  <si>
    <t>S1134</t>
  </si>
  <si>
    <t>ME335</t>
  </si>
  <si>
    <t>S1135</t>
  </si>
  <si>
    <t>BI336</t>
  </si>
  <si>
    <t>S1136</t>
  </si>
  <si>
    <t>MA337</t>
  </si>
  <si>
    <t>S1137</t>
  </si>
  <si>
    <t>SO338</t>
  </si>
  <si>
    <t>S1138</t>
  </si>
  <si>
    <t>NE339</t>
  </si>
  <si>
    <t>S1139</t>
  </si>
  <si>
    <t>ME340</t>
  </si>
  <si>
    <t>S1140</t>
  </si>
  <si>
    <t>BI341</t>
  </si>
  <si>
    <t>S1141</t>
  </si>
  <si>
    <t>MA342</t>
  </si>
  <si>
    <t>S1142</t>
  </si>
  <si>
    <t>PS343</t>
  </si>
  <si>
    <t>S1143</t>
  </si>
  <si>
    <t>PH344</t>
  </si>
  <si>
    <t>S1144</t>
  </si>
  <si>
    <t>ME345</t>
  </si>
  <si>
    <t>S1145</t>
  </si>
  <si>
    <t>BI346</t>
  </si>
  <si>
    <t>S1146</t>
  </si>
  <si>
    <t>AC347</t>
  </si>
  <si>
    <t>S1147</t>
  </si>
  <si>
    <t>HI348</t>
  </si>
  <si>
    <t>S1148</t>
  </si>
  <si>
    <t>BI349</t>
  </si>
  <si>
    <t>S1149</t>
  </si>
  <si>
    <t>ME350</t>
  </si>
  <si>
    <t>S1150</t>
  </si>
  <si>
    <t>BI351</t>
  </si>
  <si>
    <t>S1151</t>
  </si>
  <si>
    <t>FI352</t>
  </si>
  <si>
    <t>S1152</t>
  </si>
  <si>
    <t>EN353</t>
  </si>
  <si>
    <t>S1153</t>
  </si>
  <si>
    <t>NE354</t>
  </si>
  <si>
    <t>S1154</t>
  </si>
  <si>
    <t>ME355</t>
  </si>
  <si>
    <t>S1155</t>
  </si>
  <si>
    <t>BI356</t>
  </si>
  <si>
    <t>S1156</t>
  </si>
  <si>
    <t>MA357</t>
  </si>
  <si>
    <t>S1157</t>
  </si>
  <si>
    <t>SO358</t>
  </si>
  <si>
    <t>S1158</t>
  </si>
  <si>
    <t>PH359</t>
  </si>
  <si>
    <t>S1159</t>
  </si>
  <si>
    <t>ME360</t>
  </si>
  <si>
    <t>S1160</t>
  </si>
  <si>
    <t>BI361</t>
  </si>
  <si>
    <t>S1161</t>
  </si>
  <si>
    <t>MA362</t>
  </si>
  <si>
    <t>S1162</t>
  </si>
  <si>
    <t>PS363</t>
  </si>
  <si>
    <t>S1163</t>
  </si>
  <si>
    <t>BI364</t>
  </si>
  <si>
    <t>S1164</t>
  </si>
  <si>
    <t>ME365</t>
  </si>
  <si>
    <t>S1165</t>
  </si>
  <si>
    <t>BI366</t>
  </si>
  <si>
    <t>S1166</t>
  </si>
  <si>
    <t>AC367</t>
  </si>
  <si>
    <t>S1167</t>
  </si>
  <si>
    <t>HI368</t>
  </si>
  <si>
    <t>S1168</t>
  </si>
  <si>
    <t>NE369</t>
  </si>
  <si>
    <t>S1169</t>
  </si>
  <si>
    <t>ME370</t>
  </si>
  <si>
    <t>S1170</t>
  </si>
  <si>
    <t>BI371</t>
  </si>
  <si>
    <t>S1171</t>
  </si>
  <si>
    <t>FI372</t>
  </si>
  <si>
    <t>S1172</t>
  </si>
  <si>
    <t>EN373</t>
  </si>
  <si>
    <t>S1173</t>
  </si>
  <si>
    <t>PH374</t>
  </si>
  <si>
    <t>S1174</t>
  </si>
  <si>
    <t>ME375</t>
  </si>
  <si>
    <t>S1175</t>
  </si>
  <si>
    <t>BI376</t>
  </si>
  <si>
    <t>S1176</t>
  </si>
  <si>
    <t>MA377</t>
  </si>
  <si>
    <t>S1177</t>
  </si>
  <si>
    <t>SO378</t>
  </si>
  <si>
    <t>S1178</t>
  </si>
  <si>
    <t>BI379</t>
  </si>
  <si>
    <t>S1179</t>
  </si>
  <si>
    <t>ME380</t>
  </si>
  <si>
    <t>S1180</t>
  </si>
  <si>
    <t>BI381</t>
  </si>
  <si>
    <t>S1181</t>
  </si>
  <si>
    <t>MA382</t>
  </si>
  <si>
    <t>S1182</t>
  </si>
  <si>
    <t>PS383</t>
  </si>
  <si>
    <t>S1183</t>
  </si>
  <si>
    <t>NE384</t>
  </si>
  <si>
    <t>S1184</t>
  </si>
  <si>
    <t>ME385</t>
  </si>
  <si>
    <t>S1185</t>
  </si>
  <si>
    <t>BI386</t>
  </si>
  <si>
    <t>S1186</t>
  </si>
  <si>
    <t>AC387</t>
  </si>
  <si>
    <t>S1187</t>
  </si>
  <si>
    <t>HI388</t>
  </si>
  <si>
    <t>S1188</t>
  </si>
  <si>
    <t>PH389</t>
  </si>
  <si>
    <t>S1189</t>
  </si>
  <si>
    <t>ME390</t>
  </si>
  <si>
    <t>S1190</t>
  </si>
  <si>
    <t>BI391</t>
  </si>
  <si>
    <t>S1191</t>
  </si>
  <si>
    <t>FI392</t>
  </si>
  <si>
    <t>S1192</t>
  </si>
  <si>
    <t>EN393</t>
  </si>
  <si>
    <t>S1193</t>
  </si>
  <si>
    <t>BI394</t>
  </si>
  <si>
    <t>S1194</t>
  </si>
  <si>
    <t>ME395</t>
  </si>
  <si>
    <t>S1195</t>
  </si>
  <si>
    <t>BI396</t>
  </si>
  <si>
    <t>S1196</t>
  </si>
  <si>
    <t>MA397</t>
  </si>
  <si>
    <t>S1197</t>
  </si>
  <si>
    <t>SO398</t>
  </si>
  <si>
    <t>S1198</t>
  </si>
  <si>
    <t>NE399</t>
  </si>
  <si>
    <t>S1199</t>
  </si>
  <si>
    <t>ME400</t>
  </si>
  <si>
    <t>S1200</t>
  </si>
  <si>
    <t>BI401</t>
  </si>
  <si>
    <t>S1201</t>
  </si>
  <si>
    <t>MA402</t>
  </si>
  <si>
    <t>S1202</t>
  </si>
  <si>
    <t>PS403</t>
  </si>
  <si>
    <t>S1203</t>
  </si>
  <si>
    <t>PH404</t>
  </si>
  <si>
    <t>S1204</t>
  </si>
  <si>
    <t>ME405</t>
  </si>
  <si>
    <t>S1205</t>
  </si>
  <si>
    <t>BI406</t>
  </si>
  <si>
    <t>S1206</t>
  </si>
  <si>
    <t>AC407</t>
  </si>
  <si>
    <t>S1207</t>
  </si>
  <si>
    <t>HI408</t>
  </si>
  <si>
    <t>S1208</t>
  </si>
  <si>
    <t>BI409</t>
  </si>
  <si>
    <t>S1209</t>
  </si>
  <si>
    <t>ME410</t>
  </si>
  <si>
    <t>S1210</t>
  </si>
  <si>
    <t>BI411</t>
  </si>
  <si>
    <t>S1211</t>
  </si>
  <si>
    <t>FI412</t>
  </si>
  <si>
    <t>S1212</t>
  </si>
  <si>
    <t>EN413</t>
  </si>
  <si>
    <t>S1213</t>
  </si>
  <si>
    <t>NE414</t>
  </si>
  <si>
    <t>S1214</t>
  </si>
  <si>
    <t>ME415</t>
  </si>
  <si>
    <t>S1215</t>
  </si>
  <si>
    <t>BI416</t>
  </si>
  <si>
    <t>S1216</t>
  </si>
  <si>
    <t>MA417</t>
  </si>
  <si>
    <t>S1217</t>
  </si>
  <si>
    <t>SO418</t>
  </si>
  <si>
    <t>S1218</t>
  </si>
  <si>
    <t>PH419</t>
  </si>
  <si>
    <t>S1219</t>
  </si>
  <si>
    <t>ME420</t>
  </si>
  <si>
    <t>S1220</t>
  </si>
  <si>
    <t>BI421</t>
  </si>
  <si>
    <t>S1221</t>
  </si>
  <si>
    <t>MA422</t>
  </si>
  <si>
    <t>S1222</t>
  </si>
  <si>
    <t>PS423</t>
  </si>
  <si>
    <t>S1223</t>
  </si>
  <si>
    <t>BI424</t>
  </si>
  <si>
    <t>S1224</t>
  </si>
  <si>
    <t>ME425</t>
  </si>
  <si>
    <t>S1225</t>
  </si>
  <si>
    <t>BI426</t>
  </si>
  <si>
    <t>S1226</t>
  </si>
  <si>
    <t>AC427</t>
  </si>
  <si>
    <t>S1227</t>
  </si>
  <si>
    <t>HI428</t>
  </si>
  <si>
    <t>S1228</t>
  </si>
  <si>
    <t>NE429</t>
  </si>
  <si>
    <t>S1229</t>
  </si>
  <si>
    <t>ME430</t>
  </si>
  <si>
    <t>S1230</t>
  </si>
  <si>
    <t>BI431</t>
  </si>
  <si>
    <t>S1231</t>
  </si>
  <si>
    <t>FI432</t>
  </si>
  <si>
    <t>S1232</t>
  </si>
  <si>
    <t>EN433</t>
  </si>
  <si>
    <t>S1233</t>
  </si>
  <si>
    <t>PH434</t>
  </si>
  <si>
    <t>S1234</t>
  </si>
  <si>
    <t>ME435</t>
  </si>
  <si>
    <t>S1235</t>
  </si>
  <si>
    <t>BI436</t>
  </si>
  <si>
    <t>S1236</t>
  </si>
  <si>
    <t>MA437</t>
  </si>
  <si>
    <t>S1237</t>
  </si>
  <si>
    <t>SO438</t>
  </si>
  <si>
    <t>S1238</t>
  </si>
  <si>
    <t>BI439</t>
  </si>
  <si>
    <t>S1239</t>
  </si>
  <si>
    <t>ME440</t>
  </si>
  <si>
    <t>S1240</t>
  </si>
  <si>
    <t>BI441</t>
  </si>
  <si>
    <t>S1241</t>
  </si>
  <si>
    <t>MA442</t>
  </si>
  <si>
    <t>S1242</t>
  </si>
  <si>
    <t>PS443</t>
  </si>
  <si>
    <t>S1243</t>
  </si>
  <si>
    <t>NE444</t>
  </si>
  <si>
    <t>S1244</t>
  </si>
  <si>
    <t>ME445</t>
  </si>
  <si>
    <t>S1245</t>
  </si>
  <si>
    <t>BI446</t>
  </si>
  <si>
    <t>S1246</t>
  </si>
  <si>
    <t>AC447</t>
  </si>
  <si>
    <t>S1247</t>
  </si>
  <si>
    <t>HI448</t>
  </si>
  <si>
    <t>S1248</t>
  </si>
  <si>
    <t>PH449</t>
  </si>
  <si>
    <t>S1249</t>
  </si>
  <si>
    <t>ME450</t>
  </si>
  <si>
    <t>S1250</t>
  </si>
  <si>
    <t>BI451</t>
  </si>
  <si>
    <t>S1251</t>
  </si>
  <si>
    <t>FI452</t>
  </si>
  <si>
    <t>S1252</t>
  </si>
  <si>
    <t>EN453</t>
  </si>
  <si>
    <t>S1253</t>
  </si>
  <si>
    <t>BI454</t>
  </si>
  <si>
    <t>S1254</t>
  </si>
  <si>
    <t>ME455</t>
  </si>
  <si>
    <t>S1255</t>
  </si>
  <si>
    <t>BI456</t>
  </si>
  <si>
    <t>S1256</t>
  </si>
  <si>
    <t>MA457</t>
  </si>
  <si>
    <t>S1257</t>
  </si>
  <si>
    <t>SO458</t>
  </si>
  <si>
    <t>S1258</t>
  </si>
  <si>
    <t>NE459</t>
  </si>
  <si>
    <t>S1259</t>
  </si>
  <si>
    <t>ME460</t>
  </si>
  <si>
    <t>S1260</t>
  </si>
  <si>
    <t>BI461</t>
  </si>
  <si>
    <t>S1261</t>
  </si>
  <si>
    <t>MA462</t>
  </si>
  <si>
    <t>S1262</t>
  </si>
  <si>
    <t>PS463</t>
  </si>
  <si>
    <t>S1263</t>
  </si>
  <si>
    <t>PH464</t>
  </si>
  <si>
    <t>S1264</t>
  </si>
  <si>
    <t>ME465</t>
  </si>
  <si>
    <t>S1265</t>
  </si>
  <si>
    <t>BI466</t>
  </si>
  <si>
    <t>S1266</t>
  </si>
  <si>
    <t>AC467</t>
  </si>
  <si>
    <t>S1267</t>
  </si>
  <si>
    <t>HI468</t>
  </si>
  <si>
    <t>S1268</t>
  </si>
  <si>
    <t>BI469</t>
  </si>
  <si>
    <t>S1269</t>
  </si>
  <si>
    <t>ME470</t>
  </si>
  <si>
    <t>S1270</t>
  </si>
  <si>
    <t>BI471</t>
  </si>
  <si>
    <t>S1271</t>
  </si>
  <si>
    <t>FI472</t>
  </si>
  <si>
    <t>S1272</t>
  </si>
  <si>
    <t>EN473</t>
  </si>
  <si>
    <t>S1273</t>
  </si>
  <si>
    <t>NE474</t>
  </si>
  <si>
    <t>S1274</t>
  </si>
  <si>
    <t>ME475</t>
  </si>
  <si>
    <t>S1275</t>
  </si>
  <si>
    <t>BI476</t>
  </si>
  <si>
    <t>S1276</t>
  </si>
  <si>
    <t>MA477</t>
  </si>
  <si>
    <t>S1277</t>
  </si>
  <si>
    <t>SO478</t>
  </si>
  <si>
    <t>S1278</t>
  </si>
  <si>
    <t>PH479</t>
  </si>
  <si>
    <t>S1279</t>
  </si>
  <si>
    <t>ME480</t>
  </si>
  <si>
    <t>S1280</t>
  </si>
  <si>
    <t>BI481</t>
  </si>
  <si>
    <t>S1281</t>
  </si>
  <si>
    <t>MA482</t>
  </si>
  <si>
    <t>S1282</t>
  </si>
  <si>
    <t>PS483</t>
  </si>
  <si>
    <t>S1283</t>
  </si>
  <si>
    <t>BI484</t>
  </si>
  <si>
    <t>S1284</t>
  </si>
  <si>
    <t>ME485</t>
  </si>
  <si>
    <t>S1285</t>
  </si>
  <si>
    <t>BI486</t>
  </si>
  <si>
    <t>S1286</t>
  </si>
  <si>
    <t>AC487</t>
  </si>
  <si>
    <t>S1287</t>
  </si>
  <si>
    <t>HI488</t>
  </si>
  <si>
    <t>S1288</t>
  </si>
  <si>
    <t>NE489</t>
  </si>
  <si>
    <t>S1289</t>
  </si>
  <si>
    <t>ME490</t>
  </si>
  <si>
    <t>S1290</t>
  </si>
  <si>
    <t>BI491</t>
  </si>
  <si>
    <t>S1291</t>
  </si>
  <si>
    <t>FI492</t>
  </si>
  <si>
    <t>S1292</t>
  </si>
  <si>
    <t>EN493</t>
  </si>
  <si>
    <t>S1293</t>
  </si>
  <si>
    <t>PH494</t>
  </si>
  <si>
    <t>S1294</t>
  </si>
  <si>
    <t>ME495</t>
  </si>
  <si>
    <t>S1295</t>
  </si>
  <si>
    <t>BI496</t>
  </si>
  <si>
    <t>S1296</t>
  </si>
  <si>
    <t>MA497</t>
  </si>
  <si>
    <t>S1297</t>
  </si>
  <si>
    <t>SO498</t>
  </si>
  <si>
    <t>S1298</t>
  </si>
  <si>
    <t>BI499</t>
  </si>
  <si>
    <t>S1299</t>
  </si>
  <si>
    <t>ME200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</si>
  <si>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</si>
  <si>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</si>
  <si>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</si>
  <si>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</si>
  <si>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</si>
  <si>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</si>
  <si>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</si>
  <si>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</si>
  <si>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</si>
  <si>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</si>
  <si>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</si>
  <si>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</si>
  <si>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</si>
  <si>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</si>
  <si>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</si>
  <si>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</si>
  <si>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</si>
  <si>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</si>
  <si>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</si>
  <si>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</si>
  <si>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</si>
  <si>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</si>
  <si>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</si>
  <si>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</si>
  <si>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</si>
  <si>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</si>
  <si>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</si>
  <si>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</si>
  <si>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</si>
  <si>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</si>
  <si>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</si>
  <si>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</si>
  <si>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</si>
  <si>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</si>
  <si>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Isabella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</si>
  <si>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</si>
  <si>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</si>
  <si>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</si>
  <si>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</si>
  <si>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</si>
  <si>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</si>
  <si>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</si>
  <si>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</si>
  <si>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</si>
  <si>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</si>
  <si>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</si>
  <si>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</si>
  <si>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</si>
  <si>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</si>
  <si>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</si>
  <si>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Teodor</t>
  </si>
  <si>
    <t>Clarke</t>
  </si>
  <si>
    <t>Olwen</t>
  </si>
  <si>
    <t>Trevar</t>
  </si>
  <si>
    <t>Jeffie</t>
  </si>
  <si>
    <t>Betsy</t>
  </si>
  <si>
    <t>Jamie</t>
  </si>
  <si>
    <t>Phil</t>
  </si>
  <si>
    <t>Merry</t>
  </si>
  <si>
    <t>Marrissa</t>
  </si>
  <si>
    <t>Shellysheldon</t>
  </si>
  <si>
    <t>Korry</t>
  </si>
  <si>
    <t>Tammy</t>
  </si>
  <si>
    <t>Sal</t>
  </si>
  <si>
    <t>Myriam</t>
  </si>
  <si>
    <t>Wilhelmina</t>
  </si>
  <si>
    <t>Angeline</t>
  </si>
  <si>
    <t>Dukey</t>
  </si>
  <si>
    <t>Eadie</t>
  </si>
  <si>
    <t>Jerome</t>
  </si>
  <si>
    <t>Charley</t>
  </si>
  <si>
    <t>Laurie</t>
  </si>
  <si>
    <t>Timotheus</t>
  </si>
  <si>
    <t>Georgette</t>
  </si>
  <si>
    <t>Graeme</t>
  </si>
  <si>
    <t>Arnie</t>
  </si>
  <si>
    <t>Stanwood</t>
  </si>
  <si>
    <t>Ilise</t>
  </si>
  <si>
    <t>Pegeen</t>
  </si>
  <si>
    <t>Lena</t>
  </si>
  <si>
    <t>Carlyn</t>
  </si>
  <si>
    <t>Clarie</t>
  </si>
  <si>
    <t>Tabitha</t>
  </si>
  <si>
    <t>Auroora</t>
  </si>
  <si>
    <t>Dorrie</t>
  </si>
  <si>
    <t>Kala</t>
  </si>
  <si>
    <t>Sallie</t>
  </si>
  <si>
    <t>Gilberte</t>
  </si>
  <si>
    <t>Nettle</t>
  </si>
  <si>
    <t>Alvira</t>
  </si>
  <si>
    <t>Glenn</t>
  </si>
  <si>
    <t>Artemas</t>
  </si>
  <si>
    <t>Jozef</t>
  </si>
  <si>
    <t>Hunter</t>
  </si>
  <si>
    <t>Marlon</t>
  </si>
  <si>
    <t>Maddy</t>
  </si>
  <si>
    <t>Rafaelia</t>
  </si>
  <si>
    <t>Marchall</t>
  </si>
  <si>
    <t>Melantha</t>
  </si>
  <si>
    <t>Joana</t>
  </si>
  <si>
    <t>Clare</t>
  </si>
  <si>
    <t>Toby</t>
  </si>
  <si>
    <t>Sari</t>
  </si>
  <si>
    <t>Alasdair</t>
  </si>
  <si>
    <t>Kellia</t>
  </si>
  <si>
    <t>Jenine</t>
  </si>
  <si>
    <t>Godfrey</t>
  </si>
  <si>
    <t>Theresina</t>
  </si>
  <si>
    <t>Madison</t>
  </si>
  <si>
    <t>Mauricio</t>
  </si>
  <si>
    <t>Salomo</t>
  </si>
  <si>
    <t>Tiena</t>
  </si>
  <si>
    <t>Syman</t>
  </si>
  <si>
    <t>Nev</t>
  </si>
  <si>
    <t>Waylin</t>
  </si>
  <si>
    <t>Dallas</t>
  </si>
  <si>
    <t>Elenore</t>
  </si>
  <si>
    <t>Babara</t>
  </si>
  <si>
    <t>Hanan</t>
  </si>
  <si>
    <t>Norry</t>
  </si>
  <si>
    <t>Marybeth</t>
  </si>
  <si>
    <t>Johny</t>
  </si>
  <si>
    <t>Franny</t>
  </si>
  <si>
    <t>Zita</t>
  </si>
  <si>
    <t>Halette</t>
  </si>
  <si>
    <t>Alair</t>
  </si>
  <si>
    <t>Hank</t>
  </si>
  <si>
    <t>Alva</t>
  </si>
  <si>
    <t>Myrle</t>
  </si>
  <si>
    <t>Margarette</t>
  </si>
  <si>
    <t>Lynda</t>
  </si>
  <si>
    <t>Kassi</t>
  </si>
  <si>
    <t>Aksel</t>
  </si>
  <si>
    <t>Corrianne</t>
  </si>
  <si>
    <t>Mufinella</t>
  </si>
  <si>
    <t>Roger</t>
  </si>
  <si>
    <t>Hill</t>
  </si>
  <si>
    <t>Glendon</t>
  </si>
  <si>
    <t>Vittoria</t>
  </si>
  <si>
    <t>Lyle</t>
  </si>
  <si>
    <t>Ignaz</t>
  </si>
  <si>
    <t>Layla</t>
  </si>
  <si>
    <t>Sheree</t>
  </si>
  <si>
    <t>Catherina</t>
  </si>
  <si>
    <t>Jody</t>
  </si>
  <si>
    <t>Leonard</t>
  </si>
  <si>
    <t>Bjorn</t>
  </si>
  <si>
    <t>Jarad</t>
  </si>
  <si>
    <t>Linus</t>
  </si>
  <si>
    <t>Kerstin</t>
  </si>
  <si>
    <t>Sharia</t>
  </si>
  <si>
    <t>Shea</t>
  </si>
  <si>
    <t>Maressa</t>
  </si>
  <si>
    <t>Hazel</t>
  </si>
  <si>
    <t>Meyer</t>
  </si>
  <si>
    <t>Dennet</t>
  </si>
  <si>
    <t>Darn</t>
  </si>
  <si>
    <t>Moritz</t>
  </si>
  <si>
    <t>Alli</t>
  </si>
  <si>
    <t>Fredelia</t>
  </si>
  <si>
    <t>Torrey</t>
  </si>
  <si>
    <t>Gil</t>
  </si>
  <si>
    <t>Lauraine</t>
  </si>
  <si>
    <t>Erek</t>
  </si>
  <si>
    <t>Darcy</t>
  </si>
  <si>
    <t>Ann-marie</t>
  </si>
  <si>
    <t>Dorice</t>
  </si>
  <si>
    <t>Quinlan</t>
  </si>
  <si>
    <t>Kizzee</t>
  </si>
  <si>
    <t>Sloane</t>
  </si>
  <si>
    <t>Manya</t>
  </si>
  <si>
    <t>Maiga</t>
  </si>
  <si>
    <t>Tabbatha</t>
  </si>
  <si>
    <t>Ingamar</t>
  </si>
  <si>
    <t>Cecilla</t>
  </si>
  <si>
    <t>Antonie</t>
  </si>
  <si>
    <t>Hyacintha</t>
  </si>
  <si>
    <t>Stafani</t>
  </si>
  <si>
    <t>Camel</t>
  </si>
  <si>
    <t>Joice</t>
  </si>
  <si>
    <t>Felita</t>
  </si>
  <si>
    <t>Aundrea</t>
  </si>
  <si>
    <t>Brock</t>
  </si>
  <si>
    <t>Nahum</t>
  </si>
  <si>
    <t>Harriot</t>
  </si>
  <si>
    <t>Omero</t>
  </si>
  <si>
    <t>Cooper</t>
  </si>
  <si>
    <t>Kleon</t>
  </si>
  <si>
    <t>Susannah</t>
  </si>
  <si>
    <t>Rudiger</t>
  </si>
  <si>
    <t>Enrique</t>
  </si>
  <si>
    <t>Fabio</t>
  </si>
  <si>
    <t>Lindy</t>
  </si>
  <si>
    <t>Michaella</t>
  </si>
  <si>
    <t>Trenton</t>
  </si>
  <si>
    <t>Eldin</t>
  </si>
  <si>
    <t>Eileen</t>
  </si>
  <si>
    <t>Orelie</t>
  </si>
  <si>
    <t>Gavin</t>
  </si>
  <si>
    <t>Elsbeth</t>
  </si>
  <si>
    <t>Ahmad</t>
  </si>
  <si>
    <t>Lorne</t>
  </si>
  <si>
    <t>Skippy</t>
  </si>
  <si>
    <t>Nike</t>
  </si>
  <si>
    <t>Hyacinthe</t>
  </si>
  <si>
    <t>Carlina</t>
  </si>
  <si>
    <t>Christin</t>
  </si>
  <si>
    <t>Anni</t>
  </si>
  <si>
    <t>Den</t>
  </si>
  <si>
    <t>Fayina</t>
  </si>
  <si>
    <t>Barry</t>
  </si>
  <si>
    <t>Vivien</t>
  </si>
  <si>
    <t>Stoddard</t>
  </si>
  <si>
    <t>Marena</t>
  </si>
  <si>
    <t>Vail</t>
  </si>
  <si>
    <t>Fernanda</t>
  </si>
  <si>
    <t>Sigismondo</t>
  </si>
  <si>
    <t>Jefferson</t>
  </si>
  <si>
    <t>Lettie</t>
  </si>
  <si>
    <t>Zonnya</t>
  </si>
  <si>
    <t>Eugen</t>
  </si>
  <si>
    <t>Rianon</t>
  </si>
  <si>
    <t>Winne</t>
  </si>
  <si>
    <t>Marigold</t>
  </si>
  <si>
    <t>Web</t>
  </si>
  <si>
    <t>Jeddy</t>
  </si>
  <si>
    <t>Tess</t>
  </si>
  <si>
    <t>Kristy</t>
  </si>
  <si>
    <t>Sharon</t>
  </si>
  <si>
    <t>Ode</t>
  </si>
  <si>
    <t>Sephira</t>
  </si>
  <si>
    <t>Melli</t>
  </si>
  <si>
    <t>Wendi</t>
  </si>
  <si>
    <t>Alis</t>
  </si>
  <si>
    <t>Isis</t>
  </si>
  <si>
    <t>Mandel</t>
  </si>
  <si>
    <t>Beryle</t>
  </si>
  <si>
    <t>Walliw</t>
  </si>
  <si>
    <t>Gaven</t>
  </si>
  <si>
    <t>Carlynn</t>
  </si>
  <si>
    <t>Jermaine</t>
  </si>
  <si>
    <t>Kort</t>
  </si>
  <si>
    <t>Tomaso</t>
  </si>
  <si>
    <t>Carlos</t>
  </si>
  <si>
    <t>Brier</t>
  </si>
  <si>
    <t>Batholomew</t>
  </si>
  <si>
    <t>Angel</t>
  </si>
  <si>
    <t>Rollo</t>
  </si>
  <si>
    <t>Orrin</t>
  </si>
  <si>
    <t>Barde</t>
  </si>
  <si>
    <t>Yankee</t>
  </si>
  <si>
    <t>Claudette</t>
  </si>
  <si>
    <t>Gabriel</t>
  </si>
  <si>
    <t>Candida</t>
  </si>
  <si>
    <t>Locke</t>
  </si>
  <si>
    <t>Bethena</t>
  </si>
  <si>
    <t>Greer</t>
  </si>
  <si>
    <t>Dorothy</t>
  </si>
  <si>
    <t>Lazaro</t>
  </si>
  <si>
    <t>Gwenora</t>
  </si>
  <si>
    <t>Doreen</t>
  </si>
  <si>
    <t>Toddie</t>
  </si>
  <si>
    <t>Sayre</t>
  </si>
  <si>
    <t>Goober</t>
  </si>
  <si>
    <t>Nicola</t>
  </si>
  <si>
    <t>Gracie</t>
  </si>
  <si>
    <t>Fairfax</t>
  </si>
  <si>
    <t>Pauly</t>
  </si>
  <si>
    <t>Eddie</t>
  </si>
  <si>
    <t>Sheelah</t>
  </si>
  <si>
    <t>Vasily</t>
  </si>
  <si>
    <t>Kaitlyn</t>
  </si>
  <si>
    <t>Elfie</t>
  </si>
  <si>
    <t>Pace</t>
  </si>
  <si>
    <t>Nicoli</t>
  </si>
  <si>
    <t>Brenden</t>
  </si>
  <si>
    <t>Jania</t>
  </si>
  <si>
    <t>Harland</t>
  </si>
  <si>
    <t>Justis</t>
  </si>
  <si>
    <t>Cull</t>
  </si>
  <si>
    <t>Werner</t>
  </si>
  <si>
    <t>Lela</t>
  </si>
  <si>
    <t>Abra</t>
  </si>
  <si>
    <t>Reid</t>
  </si>
  <si>
    <t>Rog</t>
  </si>
  <si>
    <t>Nappy</t>
  </si>
  <si>
    <t>Caron</t>
  </si>
  <si>
    <t>Bea</t>
  </si>
  <si>
    <t>Felizio</t>
  </si>
  <si>
    <t>Ileana</t>
  </si>
  <si>
    <t>Cinnamon</t>
  </si>
  <si>
    <t>Essie</t>
  </si>
  <si>
    <t>Diena</t>
  </si>
  <si>
    <t>Philis</t>
  </si>
  <si>
    <t>Stevy</t>
  </si>
  <si>
    <t>Zorine</t>
  </si>
  <si>
    <t>Rose</t>
  </si>
  <si>
    <t>Gallard</t>
  </si>
  <si>
    <t>Leoline</t>
  </si>
  <si>
    <t>Raynell</t>
  </si>
  <si>
    <t>Orin</t>
  </si>
  <si>
    <t>Hoyt</t>
  </si>
  <si>
    <t>Rutter</t>
  </si>
  <si>
    <t>Humfrey</t>
  </si>
  <si>
    <t>Brandise</t>
  </si>
  <si>
    <t>Robers</t>
  </si>
  <si>
    <t>Myrna</t>
  </si>
  <si>
    <t>Rebecka</t>
  </si>
  <si>
    <t>Keelby</t>
  </si>
  <si>
    <t>Demetrius</t>
  </si>
  <si>
    <t>Abigale</t>
  </si>
  <si>
    <t>Ransom</t>
  </si>
  <si>
    <t>Ewell</t>
  </si>
  <si>
    <t>Deb</t>
  </si>
  <si>
    <t>Ronna</t>
  </si>
  <si>
    <t>Domenic</t>
  </si>
  <si>
    <t>Brianna</t>
  </si>
  <si>
    <t>Justine</t>
  </si>
  <si>
    <t>Shell</t>
  </si>
  <si>
    <t>Jayme</t>
  </si>
  <si>
    <t>Penny</t>
  </si>
  <si>
    <t>Tallulah</t>
  </si>
  <si>
    <t>Gipsy</t>
  </si>
  <si>
    <t>Marissa</t>
  </si>
  <si>
    <t>Stillman</t>
  </si>
  <si>
    <t>Hana</t>
  </si>
  <si>
    <t>Koenraad</t>
  </si>
  <si>
    <t>Rudolph</t>
  </si>
  <si>
    <t>Ossie</t>
  </si>
  <si>
    <t>Shamus</t>
  </si>
  <si>
    <t>Von</t>
  </si>
  <si>
    <t>Gaston</t>
  </si>
  <si>
    <t>Antoinette</t>
  </si>
  <si>
    <t>Otis</t>
  </si>
  <si>
    <t>Retha</t>
  </si>
  <si>
    <t>Arlen</t>
  </si>
  <si>
    <t>Luce</t>
  </si>
  <si>
    <t>Dallon</t>
  </si>
  <si>
    <t>Jesus</t>
  </si>
  <si>
    <t>Trevor</t>
  </si>
  <si>
    <t>Joanna</t>
  </si>
  <si>
    <t>Aloin</t>
  </si>
  <si>
    <t>Leyla</t>
  </si>
  <si>
    <t>Philippe</t>
  </si>
  <si>
    <t>Alysa</t>
  </si>
  <si>
    <t>Aridatha</t>
  </si>
  <si>
    <t>Reece</t>
  </si>
  <si>
    <t>Dew</t>
  </si>
  <si>
    <t>Esra</t>
  </si>
  <si>
    <t>Zaneta</t>
  </si>
  <si>
    <t>Roxanna</t>
  </si>
  <si>
    <t>Marlane</t>
  </si>
  <si>
    <t>Heloise</t>
  </si>
  <si>
    <t>Marty</t>
  </si>
  <si>
    <t>Karylin</t>
  </si>
  <si>
    <t>Chevy</t>
  </si>
  <si>
    <t>Eustace</t>
  </si>
  <si>
    <t>Carley</t>
  </si>
  <si>
    <t>Ailina</t>
  </si>
  <si>
    <t>Adan</t>
  </si>
  <si>
    <t>Curran</t>
  </si>
  <si>
    <t>Heddi</t>
  </si>
  <si>
    <t>Chan</t>
  </si>
  <si>
    <t>Irene</t>
  </si>
  <si>
    <t>Fons</t>
  </si>
  <si>
    <t>Renado</t>
  </si>
  <si>
    <t>Eolande</t>
  </si>
  <si>
    <t>Nancie</t>
  </si>
  <si>
    <t>Seymour</t>
  </si>
  <si>
    <t>Chas</t>
  </si>
  <si>
    <t>Davida</t>
  </si>
  <si>
    <t>Kelsey</t>
  </si>
  <si>
    <t>Barbara-anne</t>
  </si>
  <si>
    <t>Blanca</t>
  </si>
  <si>
    <t>Kariotta</t>
  </si>
  <si>
    <t>Aretha</t>
  </si>
  <si>
    <t>Margarete</t>
  </si>
  <si>
    <t>Marcelline</t>
  </si>
  <si>
    <t>Vasilis</t>
  </si>
  <si>
    <t>Hollis</t>
  </si>
  <si>
    <t>Lorena</t>
  </si>
  <si>
    <t>Beck</t>
  </si>
  <si>
    <t>Lydon</t>
  </si>
  <si>
    <t>Faun</t>
  </si>
  <si>
    <t>Willy</t>
  </si>
  <si>
    <t>Ax</t>
  </si>
  <si>
    <t>Marjorie</t>
  </si>
  <si>
    <t>Aaron</t>
  </si>
  <si>
    <t>Concordia</t>
  </si>
  <si>
    <t>McEwen</t>
  </si>
  <si>
    <t>Helwig</t>
  </si>
  <si>
    <t>Naerup</t>
  </si>
  <si>
    <t>Duckitt</t>
  </si>
  <si>
    <t>Fisbey</t>
  </si>
  <si>
    <t>Aronoff</t>
  </si>
  <si>
    <t>Measor</t>
  </si>
  <si>
    <t>Screach</t>
  </si>
  <si>
    <t>MacPhee</t>
  </si>
  <si>
    <t>Wernher</t>
  </si>
  <si>
    <t>Measures</t>
  </si>
  <si>
    <t>Eloy</t>
  </si>
  <si>
    <t>Hofler</t>
  </si>
  <si>
    <t>Dottrell</t>
  </si>
  <si>
    <t>Vlahos</t>
  </si>
  <si>
    <t>Dawidsohn</t>
  </si>
  <si>
    <t>Mouton</t>
  </si>
  <si>
    <t>Saphin</t>
  </si>
  <si>
    <t>Cattach</t>
  </si>
  <si>
    <t>Greest</t>
  </si>
  <si>
    <t>Spere</t>
  </si>
  <si>
    <t>MacIlhargy</t>
  </si>
  <si>
    <t>Blanc</t>
  </si>
  <si>
    <t>Vasyaev</t>
  </si>
  <si>
    <t>Borel</t>
  </si>
  <si>
    <t>Breeds</t>
  </si>
  <si>
    <t>Gocke</t>
  </si>
  <si>
    <t>Gookes</t>
  </si>
  <si>
    <t>Codlin</t>
  </si>
  <si>
    <t>Favell</t>
  </si>
  <si>
    <t>Djordjevic</t>
  </si>
  <si>
    <t>Almey</t>
  </si>
  <si>
    <t>Renner</t>
  </si>
  <si>
    <t>Piscopiello</t>
  </si>
  <si>
    <t>Cowlas</t>
  </si>
  <si>
    <t>Caley</t>
  </si>
  <si>
    <t>Kerkham</t>
  </si>
  <si>
    <t>Arrighini</t>
  </si>
  <si>
    <t>Goymer</t>
  </si>
  <si>
    <t>Seebright</t>
  </si>
  <si>
    <t>Halse</t>
  </si>
  <si>
    <t>Stobbs</t>
  </si>
  <si>
    <t>Ibert</t>
  </si>
  <si>
    <t>Brocklesby</t>
  </si>
  <si>
    <t>Shovelbottom</t>
  </si>
  <si>
    <t>Gibard</t>
  </si>
  <si>
    <t>Klimontovich</t>
  </si>
  <si>
    <t>Mennell</t>
  </si>
  <si>
    <t>Brockie</t>
  </si>
  <si>
    <t>Petrushka</t>
  </si>
  <si>
    <t>Le Hucquet</t>
  </si>
  <si>
    <t>Danilevich</t>
  </si>
  <si>
    <t>Hawe</t>
  </si>
  <si>
    <t>Nitto</t>
  </si>
  <si>
    <t>Mealham</t>
  </si>
  <si>
    <t>Beeby</t>
  </si>
  <si>
    <t>Nice</t>
  </si>
  <si>
    <t>Yakobowitch</t>
  </si>
  <si>
    <t>Fawbert</t>
  </si>
  <si>
    <t>Cotherill</t>
  </si>
  <si>
    <t>Elms</t>
  </si>
  <si>
    <t>Weetch</t>
  </si>
  <si>
    <t>Eastope</t>
  </si>
  <si>
    <t>Hawsby</t>
  </si>
  <si>
    <t>Peddersen</t>
  </si>
  <si>
    <t>Hasser</t>
  </si>
  <si>
    <t>Croley</t>
  </si>
  <si>
    <t>Brannon</t>
  </si>
  <si>
    <t>Sames</t>
  </si>
  <si>
    <t>Cope</t>
  </si>
  <si>
    <t>Keough</t>
  </si>
  <si>
    <t>Andrasch</t>
  </si>
  <si>
    <t>Francesco</t>
  </si>
  <si>
    <t>Cawthron</t>
  </si>
  <si>
    <t>Erlam</t>
  </si>
  <si>
    <t>Lonsdale</t>
  </si>
  <si>
    <t>Fronek</t>
  </si>
  <si>
    <t>Castellet</t>
  </si>
  <si>
    <t>Giovannacci</t>
  </si>
  <si>
    <t>Meekins</t>
  </si>
  <si>
    <t>Josephi</t>
  </si>
  <si>
    <t>Cranstone</t>
  </si>
  <si>
    <t>Blaze</t>
  </si>
  <si>
    <t>Jandera</t>
  </si>
  <si>
    <t>Swaite</t>
  </si>
  <si>
    <t>Minci</t>
  </si>
  <si>
    <t>Oxbie</t>
  </si>
  <si>
    <t>Rault</t>
  </si>
  <si>
    <t>Braysher</t>
  </si>
  <si>
    <t>Sibbering</t>
  </si>
  <si>
    <t>Enevoldsen</t>
  </si>
  <si>
    <t>Hunday</t>
  </si>
  <si>
    <t>Barth</t>
  </si>
  <si>
    <t>Deacock</t>
  </si>
  <si>
    <t>Plail</t>
  </si>
  <si>
    <t>Symms</t>
  </si>
  <si>
    <t>Osburn</t>
  </si>
  <si>
    <t>Ianinotti</t>
  </si>
  <si>
    <t>Bibb</t>
  </si>
  <si>
    <t>Dunlop</t>
  </si>
  <si>
    <t>Lovart</t>
  </si>
  <si>
    <t>Annakin</t>
  </si>
  <si>
    <t>Swansbury</t>
  </si>
  <si>
    <t>Scrine</t>
  </si>
  <si>
    <t>Woodbridge</t>
  </si>
  <si>
    <t>Dash</t>
  </si>
  <si>
    <t>Jorge</t>
  </si>
  <si>
    <t>Scotson</t>
  </si>
  <si>
    <t>Adamowicz</t>
  </si>
  <si>
    <t>Pley</t>
  </si>
  <si>
    <t>Shergold</t>
  </si>
  <si>
    <t>Grzelczyk</t>
  </si>
  <si>
    <t>Poznan</t>
  </si>
  <si>
    <t>Pren</t>
  </si>
  <si>
    <t>Feldhuhn</t>
  </si>
  <si>
    <t>Frie</t>
  </si>
  <si>
    <t>Edler</t>
  </si>
  <si>
    <t>Linzee</t>
  </si>
  <si>
    <t>Elcock</t>
  </si>
  <si>
    <t>Kinton</t>
  </si>
  <si>
    <t>Wollard</t>
  </si>
  <si>
    <t>Yerrington</t>
  </si>
  <si>
    <t>Boutflour</t>
  </si>
  <si>
    <t>Toffanini</t>
  </si>
  <si>
    <t>Donaghy</t>
  </si>
  <si>
    <t>Skotcher</t>
  </si>
  <si>
    <t>Hamon</t>
  </si>
  <si>
    <t>Nern</t>
  </si>
  <si>
    <t>Antrim</t>
  </si>
  <si>
    <t>McKim</t>
  </si>
  <si>
    <t>Olyonov</t>
  </si>
  <si>
    <t>Hume</t>
  </si>
  <si>
    <t>Bowich</t>
  </si>
  <si>
    <t>Jowling</t>
  </si>
  <si>
    <t>Ackred</t>
  </si>
  <si>
    <t>Keeble</t>
  </si>
  <si>
    <t>Rymour</t>
  </si>
  <si>
    <t>Leigh</t>
  </si>
  <si>
    <t>Rubin</t>
  </si>
  <si>
    <t>Toffel</t>
  </si>
  <si>
    <t>Godfray</t>
  </si>
  <si>
    <t>Flucks</t>
  </si>
  <si>
    <t>Birk</t>
  </si>
  <si>
    <t>Baytrop</t>
  </si>
  <si>
    <t>Qusklay</t>
  </si>
  <si>
    <t>McGhee</t>
  </si>
  <si>
    <t>Ebbutt</t>
  </si>
  <si>
    <t>Gilffilland</t>
  </si>
  <si>
    <t>Flello</t>
  </si>
  <si>
    <t>Clunan</t>
  </si>
  <si>
    <t>Winwood</t>
  </si>
  <si>
    <t>Galley</t>
  </si>
  <si>
    <t>Charopen</t>
  </si>
  <si>
    <t>Rae</t>
  </si>
  <si>
    <t>Domesday</t>
  </si>
  <si>
    <t>McLucas</t>
  </si>
  <si>
    <t>Leahy</t>
  </si>
  <si>
    <t>Richfield</t>
  </si>
  <si>
    <t>Janson</t>
  </si>
  <si>
    <t>Skones</t>
  </si>
  <si>
    <t>Wherton</t>
  </si>
  <si>
    <t>O'Hallagan</t>
  </si>
  <si>
    <t>Seymark</t>
  </si>
  <si>
    <t>Damant</t>
  </si>
  <si>
    <t>Dodds</t>
  </si>
  <si>
    <t>Franceschielli</t>
  </si>
  <si>
    <t>Fellgatt</t>
  </si>
  <si>
    <t>Rowly</t>
  </si>
  <si>
    <t>Aldous</t>
  </si>
  <si>
    <t>Glendza</t>
  </si>
  <si>
    <t>Domm</t>
  </si>
  <si>
    <t>McGray</t>
  </si>
  <si>
    <t>Waiting</t>
  </si>
  <si>
    <t>Wilfling</t>
  </si>
  <si>
    <t>Shortell</t>
  </si>
  <si>
    <t>Braywood</t>
  </si>
  <si>
    <t>Agass</t>
  </si>
  <si>
    <t>Gamlen</t>
  </si>
  <si>
    <t>Mullaney</t>
  </si>
  <si>
    <t>Antognozzii</t>
  </si>
  <si>
    <t>Pearson</t>
  </si>
  <si>
    <t>Greet</t>
  </si>
  <si>
    <t>Peet</t>
  </si>
  <si>
    <t>Rittelmeyer</t>
  </si>
  <si>
    <t>Kordova</t>
  </si>
  <si>
    <t>Leffek</t>
  </si>
  <si>
    <t>Roden</t>
  </si>
  <si>
    <t>Mishaw</t>
  </si>
  <si>
    <t>McCullough</t>
  </si>
  <si>
    <t>Budgeon</t>
  </si>
  <si>
    <t>Cattroll</t>
  </si>
  <si>
    <t>Aymer</t>
  </si>
  <si>
    <t>Kebbell</t>
  </si>
  <si>
    <t>McGeaney</t>
  </si>
  <si>
    <t>Friel</t>
  </si>
  <si>
    <t>Witherbed</t>
  </si>
  <si>
    <t>Oag</t>
  </si>
  <si>
    <t>Mourgue</t>
  </si>
  <si>
    <t>Slatter</t>
  </si>
  <si>
    <t>Brazel</t>
  </si>
  <si>
    <t>Belvard</t>
  </si>
  <si>
    <t>Nowakowska</t>
  </si>
  <si>
    <t>Bamell</t>
  </si>
  <si>
    <t>Haresign</t>
  </si>
  <si>
    <t>Midlane</t>
  </si>
  <si>
    <t>Rabbitts</t>
  </si>
  <si>
    <t>Akehurst</t>
  </si>
  <si>
    <t>Gregg</t>
  </si>
  <si>
    <t>Tockell</t>
  </si>
  <si>
    <t>Sauvan</t>
  </si>
  <si>
    <t>Livingstone</t>
  </si>
  <si>
    <t>Crowest</t>
  </si>
  <si>
    <t>Jose</t>
  </si>
  <si>
    <t>Goodread</t>
  </si>
  <si>
    <t>Pillifant</t>
  </si>
  <si>
    <t>Mathewes</t>
  </si>
  <si>
    <t>Nurcombe</t>
  </si>
  <si>
    <t>Barlie</t>
  </si>
  <si>
    <t>Zamorano</t>
  </si>
  <si>
    <t>Karolczyk</t>
  </si>
  <si>
    <t>Fleay</t>
  </si>
  <si>
    <t>Arnholz</t>
  </si>
  <si>
    <t>Chimenti</t>
  </si>
  <si>
    <t>Eighteen</t>
  </si>
  <si>
    <t>Parham</t>
  </si>
  <si>
    <t>Rosendale</t>
  </si>
  <si>
    <t>Whitworth</t>
  </si>
  <si>
    <t>Beasley</t>
  </si>
  <si>
    <t>Ireson</t>
  </si>
  <si>
    <t>Iacopini</t>
  </si>
  <si>
    <t>Twiname</t>
  </si>
  <si>
    <t>Kenson</t>
  </si>
  <si>
    <t>Winterbourne</t>
  </si>
  <si>
    <t>Salt</t>
  </si>
  <si>
    <t>Bellon</t>
  </si>
  <si>
    <t>McLachlan</t>
  </si>
  <si>
    <t>Shopcott</t>
  </si>
  <si>
    <t>Crannage</t>
  </si>
  <si>
    <t>Lascelles</t>
  </si>
  <si>
    <t>Pagan</t>
  </si>
  <si>
    <t>Rankin</t>
  </si>
  <si>
    <t>Dreghorn</t>
  </si>
  <si>
    <t>Stansbury</t>
  </si>
  <si>
    <t>Cricket</t>
  </si>
  <si>
    <t>Bricket</t>
  </si>
  <si>
    <t>Whicher</t>
  </si>
  <si>
    <t>Hadwin</t>
  </si>
  <si>
    <t>Silbermann</t>
  </si>
  <si>
    <t>Stucksbury</t>
  </si>
  <si>
    <t>Ayree</t>
  </si>
  <si>
    <t>Wiltshear</t>
  </si>
  <si>
    <t>Stuer</t>
  </si>
  <si>
    <t>Pirkis</t>
  </si>
  <si>
    <t>Hymas</t>
  </si>
  <si>
    <t>Dwelling</t>
  </si>
  <si>
    <t>Janiak</t>
  </si>
  <si>
    <t>Pury</t>
  </si>
  <si>
    <t>Widdall</t>
  </si>
  <si>
    <t>Leile</t>
  </si>
  <si>
    <t>Hartlebury</t>
  </si>
  <si>
    <t>Canty</t>
  </si>
  <si>
    <t>Allum</t>
  </si>
  <si>
    <t>Alen</t>
  </si>
  <si>
    <t>MacKereth</t>
  </si>
  <si>
    <t>Enser</t>
  </si>
  <si>
    <t>Cuchey</t>
  </si>
  <si>
    <t>Scarman</t>
  </si>
  <si>
    <t>Yakunkin</t>
  </si>
  <si>
    <t>Cheesman</t>
  </si>
  <si>
    <t>Goodlake</t>
  </si>
  <si>
    <t>Sheerin</t>
  </si>
  <si>
    <t>McKinless</t>
  </si>
  <si>
    <t>Stiff</t>
  </si>
  <si>
    <t>Crown</t>
  </si>
  <si>
    <t>Wippermann</t>
  </si>
  <si>
    <t>Fairbank</t>
  </si>
  <si>
    <t>McLean</t>
  </si>
  <si>
    <t>Itshak</t>
  </si>
  <si>
    <t>MacMoyer</t>
  </si>
  <si>
    <t>Penas</t>
  </si>
  <si>
    <t>O'Collopy</t>
  </si>
  <si>
    <t>Wyse</t>
  </si>
  <si>
    <t>Jorden</t>
  </si>
  <si>
    <t>Greatbatch</t>
  </si>
  <si>
    <t>McGougan</t>
  </si>
  <si>
    <t>Karpychev</t>
  </si>
  <si>
    <t>Benley</t>
  </si>
  <si>
    <t>Rubinsohn</t>
  </si>
  <si>
    <t>Lawlor</t>
  </si>
  <si>
    <t>Whitebrook</t>
  </si>
  <si>
    <t>Valentinuzzi</t>
  </si>
  <si>
    <t>Whyman</t>
  </si>
  <si>
    <t>Baylis</t>
  </si>
  <si>
    <t>Hughill</t>
  </si>
  <si>
    <t>Clementucci</t>
  </si>
  <si>
    <t>Oven</t>
  </si>
  <si>
    <t>Shemming</t>
  </si>
  <si>
    <t>Ozelton</t>
  </si>
  <si>
    <t>Winscomb</t>
  </si>
  <si>
    <t>Abberley</t>
  </si>
  <si>
    <t>Jerrand</t>
  </si>
  <si>
    <t>Lilliman</t>
  </si>
  <si>
    <t>Crebo</t>
  </si>
  <si>
    <t>Ingrem</t>
  </si>
  <si>
    <t>Cauthra</t>
  </si>
  <si>
    <t>Reisk</t>
  </si>
  <si>
    <t>Simmig</t>
  </si>
  <si>
    <t>Attride</t>
  </si>
  <si>
    <t>Sawday</t>
  </si>
  <si>
    <t>Bown</t>
  </si>
  <si>
    <t>Jacques</t>
  </si>
  <si>
    <t>Borrowman</t>
  </si>
  <si>
    <t>Klemke</t>
  </si>
  <si>
    <t>Hissett</t>
  </si>
  <si>
    <t>Deave</t>
  </si>
  <si>
    <t>Taylorson</t>
  </si>
  <si>
    <t>Jursch</t>
  </si>
  <si>
    <t>Saing</t>
  </si>
  <si>
    <t>Keates</t>
  </si>
  <si>
    <t>Kerss</t>
  </si>
  <si>
    <t>Josham</t>
  </si>
  <si>
    <t>Kildea</t>
  </si>
  <si>
    <t>Cattenach</t>
  </si>
  <si>
    <t>Bercher</t>
  </si>
  <si>
    <t>Grinham</t>
  </si>
  <si>
    <t>Di Pietro</t>
  </si>
  <si>
    <t>Pentelo</t>
  </si>
  <si>
    <t>Conneau</t>
  </si>
  <si>
    <t>Maasze</t>
  </si>
  <si>
    <t>House</t>
  </si>
  <si>
    <t>Ellph</t>
  </si>
  <si>
    <t>Lockner</t>
  </si>
  <si>
    <t>Ross</t>
  </si>
  <si>
    <t>Perritt</t>
  </si>
  <si>
    <t>Pochet</t>
  </si>
  <si>
    <t>Thacker</t>
  </si>
  <si>
    <t>de Almeida</t>
  </si>
  <si>
    <t>Upward</t>
  </si>
  <si>
    <t>Losbie</t>
  </si>
  <si>
    <t>Toothill</t>
  </si>
  <si>
    <t>Blatherwick</t>
  </si>
  <si>
    <t>Caird</t>
  </si>
  <si>
    <t>Pregal</t>
  </si>
  <si>
    <t>Phettis</t>
  </si>
  <si>
    <t>Boyett</t>
  </si>
  <si>
    <t>Age</t>
  </si>
  <si>
    <t>Final Score</t>
  </si>
  <si>
    <t>Net Tution Fee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</si>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</sst>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[$£-809]* #,##0.00_-;\-[$£-809]* #,##0.00_-;_-[$£-809]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9" fontId="0" fillId="0" borderId="0" xfId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21">
    <dxf>
      <numFmt numFmtId="0" formatCode="General"/>
    </dxf>
    <dxf>
      <numFmt numFmtId="0" formatCode="General"/>
    </dxf>
    <dxf>
      <numFmt numFmtId="165" formatCode="_-[$£-809]* #,##0.00_-;\-[$£-809]* #,##0.00_-;_-[$£-809]* &quot;-&quot;??_-;_-@_-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55E4E5-6419-43F9-82F9-B488DF7319D9}" autoFormatId="16" applyNumberFormats="0" applyBorderFormats="0" applyFontFormats="0" applyPatternFormats="0" applyAlignmentFormats="0" applyWidthHeightFormats="0">
  <queryTableRefresh nextId="37">
    <queryTableFields count="32">
      <queryTableField id="1" name="Student ID" tableColumnId="1"/>
      <queryTableField id="2" name="First Name" tableColumnId="2"/>
      <queryTableField id="3" name="Last Name" tableColumnId="3"/>
      <queryTableField id="36" dataBound="0" tableColumnId="24"/>
      <queryTableField id="5" name="Gender" tableColumnId="5"/>
      <queryTableField id="6" name="Date of Birth" tableColumnId="6"/>
      <queryTableField id="30" dataBound="0" tableColumnId="32"/>
      <queryTableField id="7" name="Nationality" tableColumnId="7"/>
      <queryTableField id="8" name="Enrollment Year" tableColumnId="8"/>
      <queryTableField id="9" name="Faculty" tableColumnId="9"/>
      <queryTableField id="10" name="Department" tableColumnId="10"/>
      <queryTableField id="11" name="Current Year of Study" tableColumnId="11"/>
      <queryTableField id="12" name="Status" tableColumnId="12"/>
      <queryTableField id="13" name="Course Code" tableColumnId="13"/>
      <queryTableField id="14" name="Course Name" tableColumnId="14"/>
      <queryTableField id="15" name="Course Credits" tableColumnId="15"/>
      <queryTableField id="16" name="Lecture ID" tableColumnId="16"/>
      <queryTableField id="17" name="Lecture Name" tableColumnId="17"/>
      <queryTableField id="18" name="Semester" tableColumnId="18"/>
      <queryTableField id="19" name="Academic Year" tableColumnId="19"/>
      <queryTableField id="20" name="Assignment 1 Score" tableColumnId="20"/>
      <queryTableField id="21" name="Assignment 2 Score" tableColumnId="21"/>
      <queryTableField id="22" name="Midterm Exam Score" tableColumnId="22"/>
      <queryTableField id="31" dataBound="0" tableColumnId="30"/>
      <queryTableField id="33" dataBound="0" tableColumnId="33"/>
      <queryTableField id="25" name="Grade Point" tableColumnId="25"/>
      <queryTableField id="26" name="Attendance Rate" tableColumnId="26"/>
      <queryTableField id="35" dataBound="0" tableColumnId="23"/>
      <queryTableField id="27" name="Tuition Fee" tableColumnId="27"/>
      <queryTableField id="28" name="Scholarship Amount" tableColumnId="28"/>
      <queryTableField id="34" dataBound="0" tableColumnId="34"/>
      <queryTableField id="29" name="Fee Status" tableColumnId="29"/>
    </queryTableFields>
    <queryTableDeletedFields count="3">
      <deletedField name="Final Exam Score"/>
      <deletedField name="Overall Grade"/>
      <deletedField name="Emai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B2DD0-DEEC-473B-A2E5-C334B96790DA}" name="Query1" displayName="Query1" ref="A1:AF1001" tableType="queryTable" totalsRowShown="0">
  <autoFilter ref="A1:AF1001" xr:uid="{A8DB2DD0-DEEC-473B-A2E5-C334B96790DA}"/>
  <tableColumns count="32">
    <tableColumn id="1" xr3:uid="{BACE0BA9-F499-4E11-A9DA-3E07BC8D1408}" uniqueName="1" name="Student ID" queryTableFieldId="1" dataDxfId="20"/>
    <tableColumn id="2" xr3:uid="{C0E8E1DA-8210-4956-9E84-C490FFB44766}" uniqueName="2" name="First Name" queryTableFieldId="2" dataDxfId="19"/>
    <tableColumn id="3" xr3:uid="{2F527C62-D8E8-4675-A6F1-1A61E1885EF3}" uniqueName="3" name="Last Name" queryTableFieldId="3" dataDxfId="18"/>
    <tableColumn id="24" xr3:uid="{FB00C688-D267-40A1-8957-01F3639542E5}" uniqueName="24" name="Email" queryTableFieldId="36" dataDxfId="0">
      <calculatedColumnFormula>LEFT(Query1[[#This Row],[First Name]],1) &amp; "." &amp; Query1[[#This Row],[Last Name]] &amp; "@university.edu"</calculatedColumnFormula>
    </tableColumn>
    <tableColumn id="5" xr3:uid="{0E3426CD-25A1-42B5-A23D-85D9CD1941AA}" uniqueName="5" name="Gender" queryTableFieldId="5" dataDxfId="17"/>
    <tableColumn id="6" xr3:uid="{494E52A4-8AA0-4294-B090-3D7340FE94E2}" uniqueName="6" name="Date of Birth" queryTableFieldId="6" dataDxfId="16"/>
    <tableColumn id="32" xr3:uid="{351F45DC-6F54-4F10-B6B1-48C34BE06023}" uniqueName="32" name="Age" queryTableFieldId="30" dataDxfId="15">
      <calculatedColumnFormula>DATEDIF(Query1[[#This Row],[Date of Birth]],TODAY(),"Y")</calculatedColumnFormula>
    </tableColumn>
    <tableColumn id="7" xr3:uid="{89C9CB3E-B9C6-40CD-A513-C7CA201F7B6A}" uniqueName="7" name="Nationality" queryTableFieldId="7" dataDxfId="14"/>
    <tableColumn id="8" xr3:uid="{CFB99184-94BD-45BB-B164-451DC93D6C4E}" uniqueName="8" name="Enrollment Year" queryTableFieldId="8"/>
    <tableColumn id="9" xr3:uid="{24DECCF3-88C3-4BB7-B2C6-FE6F16C22559}" uniqueName="9" name="Faculty" queryTableFieldId="9" dataDxfId="13"/>
    <tableColumn id="10" xr3:uid="{1B6675B7-6EC3-463A-B54A-0B647D4D915F}" uniqueName="10" name="Department" queryTableFieldId="10" dataDxfId="12"/>
    <tableColumn id="11" xr3:uid="{F65B1D11-2129-4690-9430-B139E9BD0F1F}" uniqueName="11" name="Current Year of Study" queryTableFieldId="11"/>
    <tableColumn id="12" xr3:uid="{07918367-666A-43C2-82C9-69A0584B2E48}" uniqueName="12" name="Status" queryTableFieldId="12" dataDxfId="11"/>
    <tableColumn id="13" xr3:uid="{3EFDB72D-789D-45A2-A4B5-48CFC67AE4AB}" uniqueName="13" name="Course Code" queryTableFieldId="13" dataDxfId="10"/>
    <tableColumn id="14" xr3:uid="{1EFFDEF8-95C0-46BF-A8F8-4BCC6CB71604}" uniqueName="14" name="Course Name" queryTableFieldId="14" dataDxfId="9"/>
    <tableColumn id="15" xr3:uid="{4EC38E62-609E-4300-9408-08D483EA78C0}" uniqueName="15" name="Course Credits" queryTableFieldId="15"/>
    <tableColumn id="16" xr3:uid="{A60BB246-4205-4D82-9DB8-F515178137D9}" uniqueName="16" name="Lecture ID" queryTableFieldId="16" dataDxfId="8"/>
    <tableColumn id="17" xr3:uid="{BA756EA1-1CF0-4C14-94DB-BFC96146EECE}" uniqueName="17" name="Lecture Name" queryTableFieldId="17" dataDxfId="7"/>
    <tableColumn id="18" xr3:uid="{B6E2F6A4-00DC-44C6-B6FD-FE328EB59881}" uniqueName="18" name="Semester" queryTableFieldId="18" dataDxfId="6"/>
    <tableColumn id="19" xr3:uid="{0BB7AF90-5198-4BD6-A06D-C6F160318604}" uniqueName="19" name="Academic Year" queryTableFieldId="19" dataDxfId="5"/>
    <tableColumn id="20" xr3:uid="{26A1730C-A474-4E30-868F-10F0DBEA628E}" uniqueName="20" name="Assignment 1 Score" queryTableFieldId="20"/>
    <tableColumn id="21" xr3:uid="{2A26238E-A8D2-4928-9F42-08798611627A}" uniqueName="21" name="Assignment 2 Score" queryTableFieldId="21"/>
    <tableColumn id="22" xr3:uid="{8A36768C-09F6-40B7-8E43-C81109801F0E}" uniqueName="22" name="Midterm Exam Score" queryTableFieldId="22"/>
    <tableColumn id="30" xr3:uid="{4BF1A0C4-F124-4A4D-B1BC-F56A60AD6944}" uniqueName="30" name="Final Score" queryTableFieldId="31" dataDxfId="4">
      <calculatedColumnFormula>AVERAGE(Query1[[#This Row],[Assignment 1 Score]],Query1[[#This Row],[Assignment 2 Score]],Query1[[#This Row],[Midterm Exam Score]])</calculatedColumnFormula>
    </tableColumn>
    <tableColumn id="33" xr3:uid="{D3DB8587-512F-4272-80A2-754FA5E3EDD1}" uniqueName="33" name="Overall Grade" queryTableFieldId="33" dataDxfId="3">
      <calculatedColumnFormula array="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calculatedColumnFormula>
    </tableColumn>
    <tableColumn id="25" xr3:uid="{AB051DC3-F84D-4E7F-B9E4-576E33188A7D}" uniqueName="25" name="Grade Point" queryTableFieldId="25"/>
    <tableColumn id="26" xr3:uid="{52D6C3EB-FCB3-482C-91FF-FCEC98F73CA9}" uniqueName="26" name="Attendance Rate" queryTableFieldId="26"/>
    <tableColumn id="23" xr3:uid="{11B41875-C8AB-4271-B7C1-DA2A94335658}" uniqueName="23" name="Column1" queryTableFieldId="35"/>
    <tableColumn id="27" xr3:uid="{1CC518E1-7531-45A9-977F-C0A988AAF604}" uniqueName="27" name="Tuition Fee" queryTableFieldId="27"/>
    <tableColumn id="28" xr3:uid="{CF8E28E1-9BF1-414E-AB10-11A8629E0B10}" uniqueName="28" name="Scholarship Amount" queryTableFieldId="28"/>
    <tableColumn id="34" xr3:uid="{3C11A1F6-A7AA-48B1-903C-5679EBE30A11}" uniqueName="34" name="Net Tution Fee" queryTableFieldId="34" dataDxfId="2">
      <calculatedColumnFormula>Query1[[#This Row],[Tuition Fee]]-Query1[[#This Row],[Scholarship Amount]]</calculatedColumnFormula>
    </tableColumn>
    <tableColumn id="29" xr3:uid="{99E66381-0AA7-4002-A4FA-A45CE467A44C}" uniqueName="29" name="Fee Status" queryTableFieldId="2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95FE-DBF7-41D4-BE08-0D5458C4242D}">
  <dimension ref="A1:AF1001"/>
  <sheetViews>
    <sheetView tabSelected="1" workbookViewId="0">
      <selection activeCell="D4" sqref="D4"/>
    </sheetView>
  </sheetViews>
  <sheetFormatPr defaultRowHeight="14.5" x14ac:dyDescent="0.35"/>
  <cols>
    <col min="1" max="1" width="11.90625" bestFit="1" customWidth="1"/>
    <col min="2" max="2" width="12.08984375" customWidth="1"/>
    <col min="3" max="3" width="12.26953125" bestFit="1" customWidth="1"/>
    <col min="4" max="4" width="27" customWidth="1"/>
    <col min="5" max="5" width="9.1796875" bestFit="1" customWidth="1"/>
    <col min="6" max="6" width="13.36328125" bestFit="1" customWidth="1"/>
    <col min="7" max="7" width="12.26953125" style="2" bestFit="1" customWidth="1"/>
    <col min="8" max="8" width="16.453125" bestFit="1" customWidth="1"/>
    <col min="9" max="9" width="10.1796875" bestFit="1" customWidth="1"/>
    <col min="10" max="10" width="14.90625" bestFit="1" customWidth="1"/>
    <col min="11" max="11" width="20.90625" bestFit="1" customWidth="1"/>
    <col min="12" max="12" width="8.453125" bestFit="1" customWidth="1"/>
    <col min="13" max="13" width="13.7265625" bestFit="1" customWidth="1"/>
    <col min="14" max="14" width="23.36328125" bestFit="1" customWidth="1"/>
    <col min="15" max="15" width="15.54296875" bestFit="1" customWidth="1"/>
    <col min="16" max="16" width="11.54296875" bestFit="1" customWidth="1"/>
    <col min="17" max="17" width="14.81640625" bestFit="1" customWidth="1"/>
    <col min="18" max="18" width="11" bestFit="1" customWidth="1"/>
    <col min="19" max="19" width="15.6328125" bestFit="1" customWidth="1"/>
    <col min="20" max="21" width="19.54296875" bestFit="1" customWidth="1"/>
    <col min="22" max="22" width="20.26953125" bestFit="1" customWidth="1"/>
    <col min="23" max="23" width="17.36328125" bestFit="1" customWidth="1"/>
    <col min="24" max="25" width="17.36328125" customWidth="1"/>
    <col min="26" max="26" width="17" bestFit="1" customWidth="1"/>
    <col min="27" max="27" width="12.26953125" bestFit="1" customWidth="1"/>
    <col min="28" max="28" width="12.26953125" customWidth="1"/>
    <col min="29" max="29" width="20.1796875" bestFit="1" customWidth="1"/>
    <col min="30" max="30" width="11.81640625" bestFit="1" customWidth="1"/>
    <col min="31" max="31" width="11.81640625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1436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1437</v>
      </c>
      <c r="Y1" t="s">
        <v>22</v>
      </c>
      <c r="Z1" t="s">
        <v>23</v>
      </c>
      <c r="AA1" t="s">
        <v>24</v>
      </c>
      <c r="AB1" t="s">
        <v>1439</v>
      </c>
      <c r="AC1" t="s">
        <v>25</v>
      </c>
      <c r="AD1" t="s">
        <v>26</v>
      </c>
      <c r="AE1" t="s">
        <v>1438</v>
      </c>
      <c r="AF1" t="s">
        <v>27</v>
      </c>
    </row>
    <row r="2" spans="1:32" x14ac:dyDescent="0.35">
      <c r="A2" t="s">
        <v>28</v>
      </c>
      <c r="B2" t="s">
        <v>752</v>
      </c>
      <c r="C2" t="s">
        <v>1091</v>
      </c>
      <c r="D2" t="str">
        <f>LEFT(Query1[[#This Row],[First Name]],1) &amp; "." &amp; Query1[[#This Row],[Last Name]] &amp; "@university.edu"</f>
        <v>T.McEwen@university.edu</v>
      </c>
      <c r="E2" t="s">
        <v>32</v>
      </c>
      <c r="F2" s="1">
        <v>35806</v>
      </c>
      <c r="G2" s="2">
        <f ca="1">DATEDIF(Query1[[#This Row],[Date of Birth]],TODAY(),"Y")</f>
        <v>27</v>
      </c>
      <c r="H2" t="s">
        <v>33</v>
      </c>
      <c r="I2">
        <v>2020</v>
      </c>
      <c r="J2" t="s">
        <v>34</v>
      </c>
      <c r="K2" t="s">
        <v>35</v>
      </c>
      <c r="N2" t="s">
        <v>36</v>
      </c>
      <c r="O2" t="s">
        <v>37</v>
      </c>
      <c r="P2">
        <v>3</v>
      </c>
      <c r="Q2" t="s">
        <v>38</v>
      </c>
      <c r="R2" t="s">
        <v>39</v>
      </c>
      <c r="S2" t="s">
        <v>40</v>
      </c>
      <c r="T2" t="s">
        <v>41</v>
      </c>
      <c r="U2">
        <v>48</v>
      </c>
      <c r="V2">
        <v>50</v>
      </c>
      <c r="W2">
        <v>52</v>
      </c>
      <c r="X2" s="2">
        <f>AVERAGE(Query1[[#This Row],[Assignment 1 Score]],Query1[[#This Row],[Assignment 2 Score]],Query1[[#This Row],[Midterm Exam Score]])</f>
        <v>50</v>
      </c>
      <c r="Y2" t="str" cm="1">
        <f t="array" ref="Y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2" s="3">
        <f>Query1[[#This Row],[Final Score]]*5/100</f>
        <v>2.5</v>
      </c>
      <c r="AA2" s="4">
        <v>0.90599999999999992</v>
      </c>
      <c r="AB2" s="4"/>
      <c r="AC2" s="5">
        <v>12023</v>
      </c>
      <c r="AD2" s="5">
        <v>1000</v>
      </c>
      <c r="AE2" s="5">
        <f>Query1[[#This Row],[Tuition Fee]]-Query1[[#This Row],[Scholarship Amount]]</f>
        <v>11023</v>
      </c>
      <c r="AF2" t="s">
        <v>31</v>
      </c>
    </row>
    <row r="3" spans="1:32" x14ac:dyDescent="0.35">
      <c r="A3" t="s">
        <v>42</v>
      </c>
      <c r="B3" t="s">
        <v>753</v>
      </c>
      <c r="C3" t="s">
        <v>1092</v>
      </c>
      <c r="D3" t="str">
        <f>LEFT(Query1[[#This Row],[First Name]],1) &amp; "." &amp; Query1[[#This Row],[Last Name]] &amp; "@university.edu"</f>
        <v>C.Helwig@university.edu</v>
      </c>
      <c r="E3" t="s">
        <v>43</v>
      </c>
      <c r="F3" s="1">
        <v>35816</v>
      </c>
      <c r="G3" s="2">
        <f ca="1">DATEDIF(Query1[[#This Row],[Date of Birth]],TODAY(),"Y")</f>
        <v>27</v>
      </c>
      <c r="H3" t="s">
        <v>44</v>
      </c>
      <c r="I3">
        <v>2021</v>
      </c>
      <c r="J3" t="s">
        <v>45</v>
      </c>
      <c r="K3" t="s">
        <v>46</v>
      </c>
      <c r="N3" t="s">
        <v>47</v>
      </c>
      <c r="O3" t="s">
        <v>48</v>
      </c>
      <c r="P3">
        <v>3</v>
      </c>
      <c r="Q3" t="s">
        <v>49</v>
      </c>
      <c r="R3" t="s">
        <v>50</v>
      </c>
      <c r="S3" t="s">
        <v>29</v>
      </c>
      <c r="T3" t="s">
        <v>51</v>
      </c>
      <c r="U3">
        <v>93</v>
      </c>
      <c r="V3">
        <v>97</v>
      </c>
      <c r="W3">
        <v>96</v>
      </c>
      <c r="X3" s="2">
        <f>AVERAGE(Query1[[#This Row],[Assignment 1 Score]],Query1[[#This Row],[Assignment 2 Score]],Query1[[#This Row],[Midterm Exam Score]])</f>
        <v>95.333333333333329</v>
      </c>
      <c r="Y3" t="str" cm="1">
        <f t="array" ref="Y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A+</v>
      </c>
      <c r="Z3" s="3">
        <f>Query1[[#This Row],[Final Score]]*5/100</f>
        <v>4.7666666666666666</v>
      </c>
      <c r="AA3" s="4">
        <v>0.94524999999999992</v>
      </c>
      <c r="AB3" s="4"/>
      <c r="AC3" s="5">
        <v>13046</v>
      </c>
      <c r="AD3" s="5">
        <v>1000</v>
      </c>
      <c r="AE3" s="5">
        <f>Query1[[#This Row],[Tuition Fee]]-Query1[[#This Row],[Scholarship Amount]]</f>
        <v>12046</v>
      </c>
      <c r="AF3" t="s">
        <v>31</v>
      </c>
    </row>
    <row r="4" spans="1:32" x14ac:dyDescent="0.35">
      <c r="A4" t="s">
        <v>52</v>
      </c>
      <c r="B4" t="s">
        <v>754</v>
      </c>
      <c r="C4" t="s">
        <v>1093</v>
      </c>
      <c r="D4" t="str">
        <f>LEFT(Query1[[#This Row],[First Name]],1) &amp; "." &amp; Query1[[#This Row],[Last Name]] &amp; "@university.edu"</f>
        <v>O.Naerup@university.edu</v>
      </c>
      <c r="E4" t="s">
        <v>32</v>
      </c>
      <c r="F4" s="1">
        <v>35826</v>
      </c>
      <c r="G4" s="2">
        <f ca="1">DATEDIF(Query1[[#This Row],[Date of Birth]],TODAY(),"Y")</f>
        <v>27</v>
      </c>
      <c r="H4" t="s">
        <v>53</v>
      </c>
      <c r="I4">
        <v>2022</v>
      </c>
      <c r="J4" t="s">
        <v>54</v>
      </c>
      <c r="K4" t="s">
        <v>55</v>
      </c>
      <c r="N4" t="s">
        <v>56</v>
      </c>
      <c r="O4" t="s">
        <v>57</v>
      </c>
      <c r="P4">
        <v>3</v>
      </c>
      <c r="Q4" t="s">
        <v>58</v>
      </c>
      <c r="R4" t="s">
        <v>59</v>
      </c>
      <c r="S4" t="s">
        <v>40</v>
      </c>
      <c r="T4" t="s">
        <v>30</v>
      </c>
      <c r="U4">
        <v>72</v>
      </c>
      <c r="V4">
        <v>74</v>
      </c>
      <c r="W4">
        <v>75</v>
      </c>
      <c r="X4" s="2">
        <f>AVERAGE(Query1[[#This Row],[Assignment 1 Score]],Query1[[#This Row],[Assignment 2 Score]],Query1[[#This Row],[Midterm Exam Score]])</f>
        <v>73.666666666666671</v>
      </c>
      <c r="Y4" t="str" cm="1">
        <f t="array" ref="Y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4" s="3">
        <f>Query1[[#This Row],[Final Score]]*5/100</f>
        <v>3.6833333333333336</v>
      </c>
      <c r="AA4" s="4">
        <v>0.89399999999999991</v>
      </c>
      <c r="AB4" s="4"/>
      <c r="AC4" s="5">
        <v>11069</v>
      </c>
      <c r="AD4" s="5">
        <v>2000</v>
      </c>
      <c r="AE4" s="5">
        <f>Query1[[#This Row],[Tuition Fee]]-Query1[[#This Row],[Scholarship Amount]]</f>
        <v>9069</v>
      </c>
      <c r="AF4" t="s">
        <v>60</v>
      </c>
    </row>
    <row r="5" spans="1:32" x14ac:dyDescent="0.35">
      <c r="A5" t="s">
        <v>61</v>
      </c>
      <c r="B5" t="s">
        <v>755</v>
      </c>
      <c r="C5" t="s">
        <v>1094</v>
      </c>
      <c r="D5" t="str">
        <f>LEFT(Query1[[#This Row],[First Name]],1) &amp; "." &amp; Query1[[#This Row],[Last Name]] &amp; "@university.edu"</f>
        <v>T.Duckitt@university.edu</v>
      </c>
      <c r="E5" t="s">
        <v>43</v>
      </c>
      <c r="F5" s="1">
        <v>35836</v>
      </c>
      <c r="G5" s="2">
        <f ca="1">DATEDIF(Query1[[#This Row],[Date of Birth]],TODAY(),"Y")</f>
        <v>27</v>
      </c>
      <c r="H5" t="s">
        <v>62</v>
      </c>
      <c r="I5">
        <v>2023</v>
      </c>
      <c r="J5" t="s">
        <v>63</v>
      </c>
      <c r="K5" t="s">
        <v>64</v>
      </c>
      <c r="N5" t="s">
        <v>65</v>
      </c>
      <c r="O5" t="s">
        <v>66</v>
      </c>
      <c r="P5">
        <v>5</v>
      </c>
      <c r="Q5" t="s">
        <v>67</v>
      </c>
      <c r="R5" t="s">
        <v>68</v>
      </c>
      <c r="S5" t="s">
        <v>29</v>
      </c>
      <c r="T5" t="s">
        <v>69</v>
      </c>
      <c r="U5">
        <v>96</v>
      </c>
      <c r="V5">
        <v>94</v>
      </c>
      <c r="W5">
        <v>89</v>
      </c>
      <c r="X5" s="2">
        <f>AVERAGE(Query1[[#This Row],[Assignment 1 Score]],Query1[[#This Row],[Assignment 2 Score]],Query1[[#This Row],[Midterm Exam Score]])</f>
        <v>93</v>
      </c>
      <c r="Y5" t="str" cm="1">
        <f t="array" ref="Y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A+</v>
      </c>
      <c r="Z5" s="3">
        <f>Query1[[#This Row],[Final Score]]*5/100</f>
        <v>4.6500000000000004</v>
      </c>
      <c r="AA5" s="4">
        <v>0.93699999999999994</v>
      </c>
      <c r="AB5" s="4"/>
      <c r="AC5" s="5">
        <v>15092</v>
      </c>
      <c r="AD5" s="5">
        <v>0</v>
      </c>
      <c r="AE5" s="5">
        <f>Query1[[#This Row],[Tuition Fee]]-Query1[[#This Row],[Scholarship Amount]]</f>
        <v>15092</v>
      </c>
      <c r="AF5" t="s">
        <v>31</v>
      </c>
    </row>
    <row r="6" spans="1:32" x14ac:dyDescent="0.35">
      <c r="A6" t="s">
        <v>70</v>
      </c>
      <c r="B6" t="s">
        <v>756</v>
      </c>
      <c r="C6" t="s">
        <v>1095</v>
      </c>
      <c r="D6" t="str">
        <f>LEFT(Query1[[#This Row],[First Name]],1) &amp; "." &amp; Query1[[#This Row],[Last Name]] &amp; "@university.edu"</f>
        <v>J.Fisbey@university.edu</v>
      </c>
      <c r="E6" t="s">
        <v>32</v>
      </c>
      <c r="F6" s="1">
        <v>35846</v>
      </c>
      <c r="G6" s="2">
        <f ca="1">DATEDIF(Query1[[#This Row],[Date of Birth]],TODAY(),"Y")</f>
        <v>27</v>
      </c>
      <c r="H6" t="s">
        <v>71</v>
      </c>
      <c r="I6">
        <v>2019</v>
      </c>
      <c r="J6" t="s">
        <v>72</v>
      </c>
      <c r="K6" t="s">
        <v>73</v>
      </c>
      <c r="N6" t="s">
        <v>74</v>
      </c>
      <c r="O6" t="s">
        <v>75</v>
      </c>
      <c r="P6">
        <v>4</v>
      </c>
      <c r="Q6" t="s">
        <v>76</v>
      </c>
      <c r="R6" t="s">
        <v>77</v>
      </c>
      <c r="S6" t="s">
        <v>40</v>
      </c>
      <c r="T6" t="s">
        <v>78</v>
      </c>
      <c r="U6">
        <v>75</v>
      </c>
      <c r="V6">
        <v>79</v>
      </c>
      <c r="W6">
        <v>68</v>
      </c>
      <c r="X6" s="2">
        <f>AVERAGE(Query1[[#This Row],[Assignment 1 Score]],Query1[[#This Row],[Assignment 2 Score]],Query1[[#This Row],[Midterm Exam Score]])</f>
        <v>74</v>
      </c>
      <c r="Y6" t="str" cm="1">
        <f t="array" ref="Y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6" s="3">
        <f>Query1[[#This Row],[Final Score]]*5/100</f>
        <v>3.7</v>
      </c>
      <c r="AA6" s="4">
        <v>0.88874999999999993</v>
      </c>
      <c r="AB6" s="4"/>
      <c r="AC6" s="5">
        <v>12615</v>
      </c>
      <c r="AD6" s="5">
        <v>1000</v>
      </c>
      <c r="AE6" s="5">
        <f>Query1[[#This Row],[Tuition Fee]]-Query1[[#This Row],[Scholarship Amount]]</f>
        <v>11615</v>
      </c>
      <c r="AF6" t="s">
        <v>31</v>
      </c>
    </row>
    <row r="7" spans="1:32" x14ac:dyDescent="0.35">
      <c r="A7" t="s">
        <v>79</v>
      </c>
      <c r="B7" t="s">
        <v>757</v>
      </c>
      <c r="C7" t="s">
        <v>1096</v>
      </c>
      <c r="D7" t="str">
        <f>LEFT(Query1[[#This Row],[First Name]],1) &amp; "." &amp; Query1[[#This Row],[Last Name]] &amp; "@university.edu"</f>
        <v>B.Aronoff@university.edu</v>
      </c>
      <c r="E7" t="s">
        <v>43</v>
      </c>
      <c r="F7" s="1">
        <v>35856</v>
      </c>
      <c r="G7" s="2">
        <f ca="1">DATEDIF(Query1[[#This Row],[Date of Birth]],TODAY(),"Y")</f>
        <v>27</v>
      </c>
      <c r="H7" t="s">
        <v>80</v>
      </c>
      <c r="I7">
        <v>2020</v>
      </c>
      <c r="J7" t="s">
        <v>34</v>
      </c>
      <c r="K7" t="s">
        <v>35</v>
      </c>
      <c r="N7" t="s">
        <v>81</v>
      </c>
      <c r="O7" t="s">
        <v>37</v>
      </c>
      <c r="P7">
        <v>3</v>
      </c>
      <c r="Q7" t="s">
        <v>82</v>
      </c>
      <c r="R7" t="s">
        <v>83</v>
      </c>
      <c r="S7" t="s">
        <v>29</v>
      </c>
      <c r="T7" t="s">
        <v>41</v>
      </c>
      <c r="U7">
        <v>89</v>
      </c>
      <c r="V7">
        <v>91</v>
      </c>
      <c r="W7">
        <v>98</v>
      </c>
      <c r="X7" s="2">
        <f>AVERAGE(Query1[[#This Row],[Assignment 1 Score]],Query1[[#This Row],[Assignment 2 Score]],Query1[[#This Row],[Midterm Exam Score]])</f>
        <v>92.666666666666671</v>
      </c>
      <c r="Y7" t="str" cm="1">
        <f t="array" ref="Y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A+</v>
      </c>
      <c r="Z7" s="3">
        <f>Query1[[#This Row],[Final Score]]*5/100</f>
        <v>4.6333333333333337</v>
      </c>
      <c r="AA7" s="4">
        <v>0.93699999999999994</v>
      </c>
      <c r="AB7" s="4"/>
      <c r="AC7" s="5">
        <v>12138</v>
      </c>
      <c r="AD7" s="5">
        <v>2000</v>
      </c>
      <c r="AE7" s="5">
        <f>Query1[[#This Row],[Tuition Fee]]-Query1[[#This Row],[Scholarship Amount]]</f>
        <v>10138</v>
      </c>
      <c r="AF7" t="s">
        <v>60</v>
      </c>
    </row>
    <row r="8" spans="1:32" x14ac:dyDescent="0.35">
      <c r="A8" t="s">
        <v>84</v>
      </c>
      <c r="B8" t="s">
        <v>758</v>
      </c>
      <c r="C8" t="s">
        <v>1097</v>
      </c>
      <c r="D8" t="str">
        <f>LEFT(Query1[[#This Row],[First Name]],1) &amp; "." &amp; Query1[[#This Row],[Last Name]] &amp; "@university.edu"</f>
        <v>J.Measor@university.edu</v>
      </c>
      <c r="E8" t="s">
        <v>32</v>
      </c>
      <c r="F8" s="1">
        <v>35866</v>
      </c>
      <c r="G8" s="2">
        <f ca="1">DATEDIF(Query1[[#This Row],[Date of Birth]],TODAY(),"Y")</f>
        <v>27</v>
      </c>
      <c r="H8" t="s">
        <v>85</v>
      </c>
      <c r="I8">
        <v>2021</v>
      </c>
      <c r="J8" t="s">
        <v>45</v>
      </c>
      <c r="K8" t="s">
        <v>86</v>
      </c>
      <c r="N8" t="s">
        <v>87</v>
      </c>
      <c r="O8" t="s">
        <v>88</v>
      </c>
      <c r="P8">
        <v>3</v>
      </c>
      <c r="Q8" t="s">
        <v>89</v>
      </c>
      <c r="R8" t="s">
        <v>90</v>
      </c>
      <c r="S8" t="s">
        <v>40</v>
      </c>
      <c r="T8" t="s">
        <v>51</v>
      </c>
      <c r="U8">
        <v>78</v>
      </c>
      <c r="V8">
        <v>76</v>
      </c>
      <c r="W8">
        <v>77</v>
      </c>
      <c r="X8" s="2">
        <f>AVERAGE(Query1[[#This Row],[Assignment 1 Score]],Query1[[#This Row],[Assignment 2 Score]],Query1[[#This Row],[Midterm Exam Score]])</f>
        <v>77</v>
      </c>
      <c r="Y8" t="str" cm="1">
        <f t="array" ref="Y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8" s="3">
        <f>Query1[[#This Row],[Final Score]]*5/100</f>
        <v>3.85</v>
      </c>
      <c r="AA8" s="4">
        <v>0.89249999999999996</v>
      </c>
      <c r="AB8" s="4"/>
      <c r="AC8" s="5">
        <v>13161</v>
      </c>
      <c r="AD8" s="5">
        <v>5000</v>
      </c>
      <c r="AE8" s="5">
        <f>Query1[[#This Row],[Tuition Fee]]-Query1[[#This Row],[Scholarship Amount]]</f>
        <v>8161</v>
      </c>
      <c r="AF8" t="s">
        <v>31</v>
      </c>
    </row>
    <row r="9" spans="1:32" x14ac:dyDescent="0.35">
      <c r="A9" t="s">
        <v>91</v>
      </c>
      <c r="B9" t="s">
        <v>759</v>
      </c>
      <c r="C9" t="s">
        <v>1098</v>
      </c>
      <c r="D9" t="str">
        <f>LEFT(Query1[[#This Row],[First Name]],1) &amp; "." &amp; Query1[[#This Row],[Last Name]] &amp; "@university.edu"</f>
        <v>P.Screach@university.edu</v>
      </c>
      <c r="E9" t="s">
        <v>43</v>
      </c>
      <c r="F9" s="1">
        <v>35876</v>
      </c>
      <c r="G9" s="2">
        <f ca="1">DATEDIF(Query1[[#This Row],[Date of Birth]],TODAY(),"Y")</f>
        <v>27</v>
      </c>
      <c r="H9" t="s">
        <v>92</v>
      </c>
      <c r="I9">
        <v>2022</v>
      </c>
      <c r="J9" t="s">
        <v>54</v>
      </c>
      <c r="K9" t="s">
        <v>93</v>
      </c>
      <c r="N9" t="s">
        <v>94</v>
      </c>
      <c r="O9" t="s">
        <v>95</v>
      </c>
      <c r="P9">
        <v>3</v>
      </c>
      <c r="Q9" t="s">
        <v>38</v>
      </c>
      <c r="R9" t="s">
        <v>39</v>
      </c>
      <c r="S9" t="s">
        <v>29</v>
      </c>
      <c r="T9" t="s">
        <v>30</v>
      </c>
      <c r="U9">
        <v>92</v>
      </c>
      <c r="V9">
        <v>88</v>
      </c>
      <c r="W9">
        <v>91</v>
      </c>
      <c r="X9" s="2">
        <f>AVERAGE(Query1[[#This Row],[Assignment 1 Score]],Query1[[#This Row],[Assignment 2 Score]],Query1[[#This Row],[Midterm Exam Score]])</f>
        <v>90.333333333333329</v>
      </c>
      <c r="Y9" t="str" cm="1">
        <f t="array" ref="Y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9" s="3">
        <f>Query1[[#This Row],[Final Score]]*5/100</f>
        <v>4.5166666666666666</v>
      </c>
      <c r="AA9" s="4">
        <v>0.92874999999999996</v>
      </c>
      <c r="AB9" s="4"/>
      <c r="AC9" s="5">
        <v>11184</v>
      </c>
      <c r="AD9" s="5">
        <v>0</v>
      </c>
      <c r="AE9" s="5">
        <f>Query1[[#This Row],[Tuition Fee]]-Query1[[#This Row],[Scholarship Amount]]</f>
        <v>11184</v>
      </c>
      <c r="AF9" t="s">
        <v>31</v>
      </c>
    </row>
    <row r="10" spans="1:32" x14ac:dyDescent="0.35">
      <c r="A10" t="s">
        <v>96</v>
      </c>
      <c r="B10" t="s">
        <v>760</v>
      </c>
      <c r="C10" t="s">
        <v>1099</v>
      </c>
      <c r="D10" t="str">
        <f>LEFT(Query1[[#This Row],[First Name]],1) &amp; "." &amp; Query1[[#This Row],[Last Name]] &amp; "@university.edu"</f>
        <v>M.MacPhee@university.edu</v>
      </c>
      <c r="E10" t="s">
        <v>32</v>
      </c>
      <c r="F10" s="1">
        <v>35886</v>
      </c>
      <c r="G10" s="2">
        <f ca="1">DATEDIF(Query1[[#This Row],[Date of Birth]],TODAY(),"Y")</f>
        <v>27</v>
      </c>
      <c r="H10" t="s">
        <v>97</v>
      </c>
      <c r="I10">
        <v>2023</v>
      </c>
      <c r="J10" t="s">
        <v>63</v>
      </c>
      <c r="K10" t="s">
        <v>98</v>
      </c>
      <c r="N10" t="s">
        <v>99</v>
      </c>
      <c r="O10" t="s">
        <v>100</v>
      </c>
      <c r="P10">
        <v>5</v>
      </c>
      <c r="Q10" t="s">
        <v>49</v>
      </c>
      <c r="R10" t="s">
        <v>50</v>
      </c>
      <c r="S10" t="s">
        <v>40</v>
      </c>
      <c r="T10" t="s">
        <v>69</v>
      </c>
      <c r="U10">
        <v>49</v>
      </c>
      <c r="V10">
        <v>73</v>
      </c>
      <c r="W10">
        <v>70</v>
      </c>
      <c r="X10" s="2">
        <f>AVERAGE(Query1[[#This Row],[Assignment 1 Score]],Query1[[#This Row],[Assignment 2 Score]],Query1[[#This Row],[Midterm Exam Score]])</f>
        <v>64</v>
      </c>
      <c r="Y10" t="str" cm="1">
        <f t="array" ref="Y1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10" s="3">
        <f>Query1[[#This Row],[Final Score]]*5/100</f>
        <v>3.2</v>
      </c>
      <c r="AA10" s="4">
        <v>0.88049999999999995</v>
      </c>
      <c r="AB10" s="4"/>
      <c r="AC10" s="5">
        <v>15207</v>
      </c>
      <c r="AD10" s="5">
        <v>2000</v>
      </c>
      <c r="AE10" s="5">
        <f>Query1[[#This Row],[Tuition Fee]]-Query1[[#This Row],[Scholarship Amount]]</f>
        <v>13207</v>
      </c>
      <c r="AF10" t="s">
        <v>60</v>
      </c>
    </row>
    <row r="11" spans="1:32" x14ac:dyDescent="0.35">
      <c r="A11" t="s">
        <v>101</v>
      </c>
      <c r="B11" t="s">
        <v>761</v>
      </c>
      <c r="C11" t="s">
        <v>1100</v>
      </c>
      <c r="D11" t="str">
        <f>LEFT(Query1[[#This Row],[First Name]],1) &amp; "." &amp; Query1[[#This Row],[Last Name]] &amp; "@university.edu"</f>
        <v>M.Wernher@university.edu</v>
      </c>
      <c r="E11" t="s">
        <v>43</v>
      </c>
      <c r="F11" s="1">
        <v>35896</v>
      </c>
      <c r="G11" s="2">
        <f ca="1">DATEDIF(Query1[[#This Row],[Date of Birth]],TODAY(),"Y")</f>
        <v>27</v>
      </c>
      <c r="H11" t="s">
        <v>102</v>
      </c>
      <c r="I11">
        <v>2019</v>
      </c>
      <c r="J11" t="s">
        <v>72</v>
      </c>
      <c r="K11" t="s">
        <v>73</v>
      </c>
      <c r="N11" t="s">
        <v>103</v>
      </c>
      <c r="O11" t="s">
        <v>75</v>
      </c>
      <c r="P11">
        <v>4</v>
      </c>
      <c r="Q11" t="s">
        <v>58</v>
      </c>
      <c r="R11" t="s">
        <v>59</v>
      </c>
      <c r="S11" t="s">
        <v>29</v>
      </c>
      <c r="T11" t="s">
        <v>78</v>
      </c>
      <c r="U11">
        <v>85</v>
      </c>
      <c r="V11">
        <v>93</v>
      </c>
      <c r="W11">
        <v>84</v>
      </c>
      <c r="X11" s="2">
        <f>AVERAGE(Query1[[#This Row],[Assignment 1 Score]],Query1[[#This Row],[Assignment 2 Score]],Query1[[#This Row],[Midterm Exam Score]])</f>
        <v>87.333333333333329</v>
      </c>
      <c r="Y11" t="str" cm="1">
        <f t="array" ref="Y1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11" s="3">
        <f>Query1[[#This Row],[Final Score]]*5/100</f>
        <v>4.3666666666666663</v>
      </c>
      <c r="AA11" s="4">
        <v>0.91974999999999996</v>
      </c>
      <c r="AB11" s="4"/>
      <c r="AC11" s="5">
        <v>12730</v>
      </c>
      <c r="AD11" s="5">
        <v>1000</v>
      </c>
      <c r="AE11" s="5">
        <f>Query1[[#This Row],[Tuition Fee]]-Query1[[#This Row],[Scholarship Amount]]</f>
        <v>11730</v>
      </c>
      <c r="AF11" t="s">
        <v>31</v>
      </c>
    </row>
    <row r="12" spans="1:32" x14ac:dyDescent="0.35">
      <c r="A12" t="s">
        <v>104</v>
      </c>
      <c r="B12" t="s">
        <v>762</v>
      </c>
      <c r="C12" t="s">
        <v>1101</v>
      </c>
      <c r="D12" t="str">
        <f>LEFT(Query1[[#This Row],[First Name]],1) &amp; "." &amp; Query1[[#This Row],[Last Name]] &amp; "@university.edu"</f>
        <v>S.Measures@university.edu</v>
      </c>
      <c r="E12" t="s">
        <v>32</v>
      </c>
      <c r="F12" s="1">
        <v>35906</v>
      </c>
      <c r="G12" s="2">
        <f ca="1">DATEDIF(Query1[[#This Row],[Date of Birth]],TODAY(),"Y")</f>
        <v>27</v>
      </c>
      <c r="H12" t="s">
        <v>105</v>
      </c>
      <c r="I12">
        <v>2020</v>
      </c>
      <c r="J12" t="s">
        <v>34</v>
      </c>
      <c r="K12" t="s">
        <v>35</v>
      </c>
      <c r="N12" t="s">
        <v>106</v>
      </c>
      <c r="O12" t="s">
        <v>37</v>
      </c>
      <c r="P12">
        <v>3</v>
      </c>
      <c r="Q12" t="s">
        <v>67</v>
      </c>
      <c r="R12" t="s">
        <v>68</v>
      </c>
      <c r="S12" t="s">
        <v>40</v>
      </c>
      <c r="T12" t="s">
        <v>41</v>
      </c>
      <c r="U12">
        <v>74</v>
      </c>
      <c r="V12">
        <v>70</v>
      </c>
      <c r="W12">
        <v>79</v>
      </c>
      <c r="X12" s="2">
        <f>AVERAGE(Query1[[#This Row],[Assignment 1 Score]],Query1[[#This Row],[Assignment 2 Score]],Query1[[#This Row],[Midterm Exam Score]])</f>
        <v>74.333333333333329</v>
      </c>
      <c r="Y12" t="str" cm="1">
        <f t="array" ref="Y1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2" s="3">
        <f>Query1[[#This Row],[Final Score]]*5/100</f>
        <v>3.7166666666666663</v>
      </c>
      <c r="AA12" s="4">
        <v>0.88424999999999998</v>
      </c>
      <c r="AB12" s="4"/>
      <c r="AC12" s="5">
        <v>12253</v>
      </c>
      <c r="AD12" s="5">
        <v>1000</v>
      </c>
      <c r="AE12" s="5">
        <f>Query1[[#This Row],[Tuition Fee]]-Query1[[#This Row],[Scholarship Amount]]</f>
        <v>11253</v>
      </c>
      <c r="AF12" t="s">
        <v>31</v>
      </c>
    </row>
    <row r="13" spans="1:32" x14ac:dyDescent="0.35">
      <c r="A13" t="s">
        <v>107</v>
      </c>
      <c r="B13" t="s">
        <v>763</v>
      </c>
      <c r="C13" t="s">
        <v>1102</v>
      </c>
      <c r="D13" t="str">
        <f>LEFT(Query1[[#This Row],[First Name]],1) &amp; "." &amp; Query1[[#This Row],[Last Name]] &amp; "@university.edu"</f>
        <v>K.Eloy@university.edu</v>
      </c>
      <c r="E13" t="s">
        <v>43</v>
      </c>
      <c r="F13" s="1">
        <v>35916</v>
      </c>
      <c r="G13" s="2">
        <f ca="1">DATEDIF(Query1[[#This Row],[Date of Birth]],TODAY(),"Y")</f>
        <v>27</v>
      </c>
      <c r="H13" t="s">
        <v>108</v>
      </c>
      <c r="I13">
        <v>2021</v>
      </c>
      <c r="J13" t="s">
        <v>45</v>
      </c>
      <c r="K13" t="s">
        <v>109</v>
      </c>
      <c r="N13" t="s">
        <v>110</v>
      </c>
      <c r="O13" t="s">
        <v>111</v>
      </c>
      <c r="P13">
        <v>3</v>
      </c>
      <c r="Q13" t="s">
        <v>76</v>
      </c>
      <c r="R13" t="s">
        <v>77</v>
      </c>
      <c r="S13" t="s">
        <v>29</v>
      </c>
      <c r="T13" t="s">
        <v>51</v>
      </c>
      <c r="U13">
        <v>88</v>
      </c>
      <c r="V13">
        <v>90</v>
      </c>
      <c r="W13">
        <v>93</v>
      </c>
      <c r="X13" s="2">
        <f>AVERAGE(Query1[[#This Row],[Assignment 1 Score]],Query1[[#This Row],[Assignment 2 Score]],Query1[[#This Row],[Midterm Exam Score]])</f>
        <v>90.333333333333329</v>
      </c>
      <c r="Y13" t="str" cm="1">
        <f t="array" ref="Y1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13" s="3">
        <f>Query1[[#This Row],[Final Score]]*5/100</f>
        <v>4.5166666666666666</v>
      </c>
      <c r="AA13" s="4">
        <v>0.92349999999999999</v>
      </c>
      <c r="AB13" s="4"/>
      <c r="AC13" s="5">
        <v>13276</v>
      </c>
      <c r="AD13" s="5">
        <v>0</v>
      </c>
      <c r="AE13" s="5">
        <f>Query1[[#This Row],[Tuition Fee]]-Query1[[#This Row],[Scholarship Amount]]</f>
        <v>13276</v>
      </c>
      <c r="AF13" t="s">
        <v>60</v>
      </c>
    </row>
    <row r="14" spans="1:32" x14ac:dyDescent="0.35">
      <c r="A14" t="s">
        <v>112</v>
      </c>
      <c r="B14" t="s">
        <v>764</v>
      </c>
      <c r="C14" t="s">
        <v>1103</v>
      </c>
      <c r="D14" t="str">
        <f>LEFT(Query1[[#This Row],[First Name]],1) &amp; "." &amp; Query1[[#This Row],[Last Name]] &amp; "@university.edu"</f>
        <v>T.Hofler@university.edu</v>
      </c>
      <c r="E14" t="s">
        <v>32</v>
      </c>
      <c r="F14" s="1">
        <v>35926</v>
      </c>
      <c r="G14" s="2">
        <f ca="1">DATEDIF(Query1[[#This Row],[Date of Birth]],TODAY(),"Y")</f>
        <v>27</v>
      </c>
      <c r="H14" t="s">
        <v>113</v>
      </c>
      <c r="I14">
        <v>2022</v>
      </c>
      <c r="J14" t="s">
        <v>54</v>
      </c>
      <c r="K14" t="s">
        <v>114</v>
      </c>
      <c r="N14" t="s">
        <v>115</v>
      </c>
      <c r="O14" t="s">
        <v>116</v>
      </c>
      <c r="P14">
        <v>3</v>
      </c>
      <c r="Q14" t="s">
        <v>82</v>
      </c>
      <c r="R14" t="s">
        <v>83</v>
      </c>
      <c r="S14" t="s">
        <v>40</v>
      </c>
      <c r="T14" t="s">
        <v>30</v>
      </c>
      <c r="U14">
        <v>67</v>
      </c>
      <c r="V14">
        <v>75</v>
      </c>
      <c r="W14">
        <v>72</v>
      </c>
      <c r="X14" s="2">
        <f>AVERAGE(Query1[[#This Row],[Assignment 1 Score]],Query1[[#This Row],[Assignment 2 Score]],Query1[[#This Row],[Midterm Exam Score]])</f>
        <v>71.333333333333329</v>
      </c>
      <c r="Y14" t="str" cm="1">
        <f t="array" ref="Y1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4" s="3">
        <f>Query1[[#This Row],[Final Score]]*5/100</f>
        <v>3.5666666666666664</v>
      </c>
      <c r="AA14" s="4">
        <v>0.87524999999999997</v>
      </c>
      <c r="AB14" s="4"/>
      <c r="AC14" s="5">
        <v>11299</v>
      </c>
      <c r="AD14" s="5">
        <v>1000</v>
      </c>
      <c r="AE14" s="5">
        <f>Query1[[#This Row],[Tuition Fee]]-Query1[[#This Row],[Scholarship Amount]]</f>
        <v>10299</v>
      </c>
      <c r="AF14" t="s">
        <v>31</v>
      </c>
    </row>
    <row r="15" spans="1:32" x14ac:dyDescent="0.35">
      <c r="A15" t="s">
        <v>117</v>
      </c>
      <c r="B15" t="s">
        <v>765</v>
      </c>
      <c r="C15" t="s">
        <v>1104</v>
      </c>
      <c r="D15" t="str">
        <f>LEFT(Query1[[#This Row],[First Name]],1) &amp; "." &amp; Query1[[#This Row],[Last Name]] &amp; "@university.edu"</f>
        <v>S.Dottrell@university.edu</v>
      </c>
      <c r="E15" t="s">
        <v>43</v>
      </c>
      <c r="F15" s="1">
        <v>35936</v>
      </c>
      <c r="G15" s="2">
        <f ca="1">DATEDIF(Query1[[#This Row],[Date of Birth]],TODAY(),"Y")</f>
        <v>27</v>
      </c>
      <c r="H15" t="s">
        <v>119</v>
      </c>
      <c r="I15">
        <v>2023</v>
      </c>
      <c r="J15" t="s">
        <v>63</v>
      </c>
      <c r="K15" t="s">
        <v>120</v>
      </c>
      <c r="N15" t="s">
        <v>121</v>
      </c>
      <c r="O15" t="s">
        <v>122</v>
      </c>
      <c r="P15">
        <v>5</v>
      </c>
      <c r="Q15" t="s">
        <v>89</v>
      </c>
      <c r="R15" t="s">
        <v>90</v>
      </c>
      <c r="S15" t="s">
        <v>29</v>
      </c>
      <c r="T15" t="s">
        <v>69</v>
      </c>
      <c r="U15">
        <v>91</v>
      </c>
      <c r="V15">
        <v>87</v>
      </c>
      <c r="W15">
        <v>86</v>
      </c>
      <c r="X15" s="2">
        <f>AVERAGE(Query1[[#This Row],[Assignment 1 Score]],Query1[[#This Row],[Assignment 2 Score]],Query1[[#This Row],[Midterm Exam Score]])</f>
        <v>88</v>
      </c>
      <c r="Y15" t="str" cm="1">
        <f t="array" ref="Y1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15" s="3">
        <f>Query1[[#This Row],[Final Score]]*5/100</f>
        <v>4.4000000000000004</v>
      </c>
      <c r="AA15" s="4">
        <v>0.9152499999999999</v>
      </c>
      <c r="AB15" s="4"/>
      <c r="AC15" s="5">
        <v>15322</v>
      </c>
      <c r="AD15" s="5">
        <v>5000</v>
      </c>
      <c r="AE15" s="5">
        <f>Query1[[#This Row],[Tuition Fee]]-Query1[[#This Row],[Scholarship Amount]]</f>
        <v>10322</v>
      </c>
      <c r="AF15" t="s">
        <v>31</v>
      </c>
    </row>
    <row r="16" spans="1:32" x14ac:dyDescent="0.35">
      <c r="A16" t="s">
        <v>123</v>
      </c>
      <c r="B16" t="s">
        <v>766</v>
      </c>
      <c r="C16" t="s">
        <v>1105</v>
      </c>
      <c r="D16" t="str">
        <f>LEFT(Query1[[#This Row],[First Name]],1) &amp; "." &amp; Query1[[#This Row],[Last Name]] &amp; "@university.edu"</f>
        <v>M.Vlahos@university.edu</v>
      </c>
      <c r="E16" t="s">
        <v>32</v>
      </c>
      <c r="F16" s="1">
        <v>35946</v>
      </c>
      <c r="G16" s="2">
        <f ca="1">DATEDIF(Query1[[#This Row],[Date of Birth]],TODAY(),"Y")</f>
        <v>27</v>
      </c>
      <c r="H16" t="s">
        <v>124</v>
      </c>
      <c r="I16">
        <v>2019</v>
      </c>
      <c r="J16" t="s">
        <v>72</v>
      </c>
      <c r="K16" t="s">
        <v>73</v>
      </c>
      <c r="N16" t="s">
        <v>125</v>
      </c>
      <c r="O16" t="s">
        <v>75</v>
      </c>
      <c r="P16">
        <v>4</v>
      </c>
      <c r="Q16" t="s">
        <v>38</v>
      </c>
      <c r="R16" t="s">
        <v>39</v>
      </c>
      <c r="S16" t="s">
        <v>40</v>
      </c>
      <c r="T16" t="s">
        <v>78</v>
      </c>
      <c r="U16">
        <v>70</v>
      </c>
      <c r="V16">
        <v>72</v>
      </c>
      <c r="W16">
        <v>65</v>
      </c>
      <c r="X16" s="2">
        <f>AVERAGE(Query1[[#This Row],[Assignment 1 Score]],Query1[[#This Row],[Assignment 2 Score]],Query1[[#This Row],[Midterm Exam Score]])</f>
        <v>69</v>
      </c>
      <c r="Y16" t="str" cm="1">
        <f t="array" ref="Y1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6" s="3">
        <f>Query1[[#This Row],[Final Score]]*5/100</f>
        <v>3.45</v>
      </c>
      <c r="AA16" s="4">
        <v>0.86699999999999999</v>
      </c>
      <c r="AB16" s="4"/>
      <c r="AC16" s="5">
        <v>12845</v>
      </c>
      <c r="AD16" s="5">
        <v>2000</v>
      </c>
      <c r="AE16" s="5">
        <f>Query1[[#This Row],[Tuition Fee]]-Query1[[#This Row],[Scholarship Amount]]</f>
        <v>10845</v>
      </c>
      <c r="AF16" t="s">
        <v>60</v>
      </c>
    </row>
    <row r="17" spans="1:32" x14ac:dyDescent="0.35">
      <c r="A17" t="s">
        <v>126</v>
      </c>
      <c r="B17" t="s">
        <v>767</v>
      </c>
      <c r="C17" t="s">
        <v>1106</v>
      </c>
      <c r="D17" t="str">
        <f>LEFT(Query1[[#This Row],[First Name]],1) &amp; "." &amp; Query1[[#This Row],[Last Name]] &amp; "@university.edu"</f>
        <v>W.Dawidsohn@university.edu</v>
      </c>
      <c r="E17" t="s">
        <v>43</v>
      </c>
      <c r="F17" s="1">
        <v>35956</v>
      </c>
      <c r="G17" s="2">
        <f ca="1">DATEDIF(Query1[[#This Row],[Date of Birth]],TODAY(),"Y")</f>
        <v>27</v>
      </c>
      <c r="H17" t="s">
        <v>127</v>
      </c>
      <c r="I17">
        <v>2020</v>
      </c>
      <c r="J17" t="s">
        <v>34</v>
      </c>
      <c r="K17" t="s">
        <v>35</v>
      </c>
      <c r="N17" t="s">
        <v>128</v>
      </c>
      <c r="O17" t="s">
        <v>37</v>
      </c>
      <c r="P17">
        <v>3</v>
      </c>
      <c r="Q17" t="s">
        <v>49</v>
      </c>
      <c r="R17" t="s">
        <v>50</v>
      </c>
      <c r="S17" t="s">
        <v>29</v>
      </c>
      <c r="T17" t="s">
        <v>41</v>
      </c>
      <c r="U17">
        <v>84</v>
      </c>
      <c r="V17">
        <v>84</v>
      </c>
      <c r="W17">
        <v>79</v>
      </c>
      <c r="X17" s="2">
        <f>AVERAGE(Query1[[#This Row],[Assignment 1 Score]],Query1[[#This Row],[Assignment 2 Score]],Query1[[#This Row],[Midterm Exam Score]])</f>
        <v>82.333333333333329</v>
      </c>
      <c r="Y17" t="str" cm="1">
        <f t="array" ref="Y1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17" s="3">
        <f>Query1[[#This Row],[Final Score]]*5/100</f>
        <v>4.1166666666666663</v>
      </c>
      <c r="AA17" s="4">
        <v>0.90324999999999989</v>
      </c>
      <c r="AB17" s="4"/>
      <c r="AC17" s="5">
        <v>12368</v>
      </c>
      <c r="AD17" s="5">
        <v>0</v>
      </c>
      <c r="AE17" s="5">
        <f>Query1[[#This Row],[Tuition Fee]]-Query1[[#This Row],[Scholarship Amount]]</f>
        <v>12368</v>
      </c>
      <c r="AF17" t="s">
        <v>31</v>
      </c>
    </row>
    <row r="18" spans="1:32" x14ac:dyDescent="0.35">
      <c r="A18" t="s">
        <v>129</v>
      </c>
      <c r="B18" t="s">
        <v>768</v>
      </c>
      <c r="C18" t="s">
        <v>1107</v>
      </c>
      <c r="D18" t="str">
        <f>LEFT(Query1[[#This Row],[First Name]],1) &amp; "." &amp; Query1[[#This Row],[Last Name]] &amp; "@university.edu"</f>
        <v>A.Mouton@university.edu</v>
      </c>
      <c r="E18" t="s">
        <v>32</v>
      </c>
      <c r="F18" s="1">
        <v>35966</v>
      </c>
      <c r="G18" s="2">
        <f ca="1">DATEDIF(Query1[[#This Row],[Date of Birth]],TODAY(),"Y")</f>
        <v>27</v>
      </c>
      <c r="H18" t="s">
        <v>130</v>
      </c>
      <c r="I18">
        <v>2021</v>
      </c>
      <c r="J18" t="s">
        <v>45</v>
      </c>
      <c r="K18" t="s">
        <v>131</v>
      </c>
      <c r="N18" t="s">
        <v>132</v>
      </c>
      <c r="O18" t="s">
        <v>133</v>
      </c>
      <c r="P18">
        <v>3</v>
      </c>
      <c r="Q18" t="s">
        <v>58</v>
      </c>
      <c r="R18" t="s">
        <v>59</v>
      </c>
      <c r="S18" t="s">
        <v>40</v>
      </c>
      <c r="T18" t="s">
        <v>51</v>
      </c>
      <c r="U18">
        <v>73</v>
      </c>
      <c r="V18">
        <v>69</v>
      </c>
      <c r="W18">
        <v>74</v>
      </c>
      <c r="X18" s="2">
        <f>AVERAGE(Query1[[#This Row],[Assignment 1 Score]],Query1[[#This Row],[Assignment 2 Score]],Query1[[#This Row],[Midterm Exam Score]])</f>
        <v>72</v>
      </c>
      <c r="Y18" t="str" cm="1">
        <f t="array" ref="Y1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8" s="3">
        <f>Query1[[#This Row],[Final Score]]*5/100</f>
        <v>3.6</v>
      </c>
      <c r="AA18" s="4">
        <v>0.87074999999999991</v>
      </c>
      <c r="AB18" s="4"/>
      <c r="AC18" s="5">
        <v>13391</v>
      </c>
      <c r="AD18" s="5">
        <v>1000</v>
      </c>
      <c r="AE18" s="5">
        <f>Query1[[#This Row],[Tuition Fee]]-Query1[[#This Row],[Scholarship Amount]]</f>
        <v>12391</v>
      </c>
      <c r="AF18" t="s">
        <v>31</v>
      </c>
    </row>
    <row r="19" spans="1:32" x14ac:dyDescent="0.35">
      <c r="A19" t="s">
        <v>134</v>
      </c>
      <c r="B19" t="s">
        <v>769</v>
      </c>
      <c r="C19" t="s">
        <v>1108</v>
      </c>
      <c r="D19" t="str">
        <f>LEFT(Query1[[#This Row],[First Name]],1) &amp; "." &amp; Query1[[#This Row],[Last Name]] &amp; "@university.edu"</f>
        <v>D.Saphin@university.edu</v>
      </c>
      <c r="E19" t="s">
        <v>43</v>
      </c>
      <c r="F19" s="1">
        <v>35976</v>
      </c>
      <c r="G19" s="2">
        <f ca="1">DATEDIF(Query1[[#This Row],[Date of Birth]],TODAY(),"Y")</f>
        <v>27</v>
      </c>
      <c r="H19" t="s">
        <v>33</v>
      </c>
      <c r="I19">
        <v>2022</v>
      </c>
      <c r="J19" t="s">
        <v>54</v>
      </c>
      <c r="K19" t="s">
        <v>135</v>
      </c>
      <c r="N19" t="s">
        <v>136</v>
      </c>
      <c r="O19" t="s">
        <v>137</v>
      </c>
      <c r="P19">
        <v>3</v>
      </c>
      <c r="Q19" t="s">
        <v>67</v>
      </c>
      <c r="R19" t="s">
        <v>68</v>
      </c>
      <c r="S19" t="s">
        <v>29</v>
      </c>
      <c r="T19" t="s">
        <v>30</v>
      </c>
      <c r="U19">
        <v>87</v>
      </c>
      <c r="V19">
        <v>50</v>
      </c>
      <c r="W19">
        <v>88</v>
      </c>
      <c r="X19" s="2">
        <f>AVERAGE(Query1[[#This Row],[Assignment 1 Score]],Query1[[#This Row],[Assignment 2 Score]],Query1[[#This Row],[Midterm Exam Score]])</f>
        <v>75</v>
      </c>
      <c r="Y19" t="str" cm="1">
        <f t="array" ref="Y1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9" s="3">
        <f>Query1[[#This Row],[Final Score]]*5/100</f>
        <v>3.75</v>
      </c>
      <c r="AA19" s="4">
        <v>0.90999999999999992</v>
      </c>
      <c r="AB19" s="4"/>
      <c r="AC19" s="5">
        <v>11414</v>
      </c>
      <c r="AD19" s="5">
        <v>2000</v>
      </c>
      <c r="AE19" s="5">
        <f>Query1[[#This Row],[Tuition Fee]]-Query1[[#This Row],[Scholarship Amount]]</f>
        <v>9414</v>
      </c>
      <c r="AF19" t="s">
        <v>60</v>
      </c>
    </row>
    <row r="20" spans="1:32" x14ac:dyDescent="0.35">
      <c r="A20" t="s">
        <v>138</v>
      </c>
      <c r="B20" t="s">
        <v>770</v>
      </c>
      <c r="C20" t="s">
        <v>1109</v>
      </c>
      <c r="D20" t="str">
        <f>LEFT(Query1[[#This Row],[First Name]],1) &amp; "." &amp; Query1[[#This Row],[Last Name]] &amp; "@university.edu"</f>
        <v>E.Cattach@university.edu</v>
      </c>
      <c r="E20" t="s">
        <v>32</v>
      </c>
      <c r="F20" s="1">
        <v>35986</v>
      </c>
      <c r="G20" s="2">
        <f ca="1">DATEDIF(Query1[[#This Row],[Date of Birth]],TODAY(),"Y")</f>
        <v>27</v>
      </c>
      <c r="H20" t="s">
        <v>44</v>
      </c>
      <c r="I20">
        <v>2023</v>
      </c>
      <c r="J20" t="s">
        <v>63</v>
      </c>
      <c r="K20" t="s">
        <v>64</v>
      </c>
      <c r="N20" t="s">
        <v>139</v>
      </c>
      <c r="O20" t="s">
        <v>66</v>
      </c>
      <c r="P20">
        <v>5</v>
      </c>
      <c r="Q20" t="s">
        <v>76</v>
      </c>
      <c r="R20" t="s">
        <v>77</v>
      </c>
      <c r="S20" t="s">
        <v>40</v>
      </c>
      <c r="T20" t="s">
        <v>69</v>
      </c>
      <c r="U20">
        <v>66</v>
      </c>
      <c r="V20">
        <v>66</v>
      </c>
      <c r="W20">
        <v>67</v>
      </c>
      <c r="X20" s="2">
        <f>AVERAGE(Query1[[#This Row],[Assignment 1 Score]],Query1[[#This Row],[Assignment 2 Score]],Query1[[#This Row],[Midterm Exam Score]])</f>
        <v>66.333333333333329</v>
      </c>
      <c r="Y20" t="str" cm="1">
        <f t="array" ref="Y2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0" s="3">
        <f>Query1[[#This Row],[Final Score]]*5/100</f>
        <v>3.3166666666666664</v>
      </c>
      <c r="AA20" s="4">
        <v>0.8587499999999999</v>
      </c>
      <c r="AB20" s="4"/>
      <c r="AC20" s="5">
        <v>15437</v>
      </c>
      <c r="AD20" s="5">
        <v>1000</v>
      </c>
      <c r="AE20" s="5">
        <f>Query1[[#This Row],[Tuition Fee]]-Query1[[#This Row],[Scholarship Amount]]</f>
        <v>14437</v>
      </c>
      <c r="AF20" t="s">
        <v>31</v>
      </c>
    </row>
    <row r="21" spans="1:32" x14ac:dyDescent="0.35">
      <c r="A21" t="s">
        <v>140</v>
      </c>
      <c r="B21" t="s">
        <v>771</v>
      </c>
      <c r="C21" t="s">
        <v>1110</v>
      </c>
      <c r="D21" t="str">
        <f>LEFT(Query1[[#This Row],[First Name]],1) &amp; "." &amp; Query1[[#This Row],[Last Name]] &amp; "@university.edu"</f>
        <v>J.Greest@university.edu</v>
      </c>
      <c r="E21" t="s">
        <v>43</v>
      </c>
      <c r="F21" s="1">
        <v>35996</v>
      </c>
      <c r="G21" s="2">
        <f ca="1">DATEDIF(Query1[[#This Row],[Date of Birth]],TODAY(),"Y")</f>
        <v>27</v>
      </c>
      <c r="H21" t="s">
        <v>53</v>
      </c>
      <c r="I21">
        <v>2019</v>
      </c>
      <c r="J21" t="s">
        <v>72</v>
      </c>
      <c r="K21" t="s">
        <v>73</v>
      </c>
      <c r="N21" t="s">
        <v>141</v>
      </c>
      <c r="O21" t="s">
        <v>75</v>
      </c>
      <c r="P21">
        <v>4</v>
      </c>
      <c r="Q21" t="s">
        <v>82</v>
      </c>
      <c r="R21" t="s">
        <v>83</v>
      </c>
      <c r="S21" t="s">
        <v>29</v>
      </c>
      <c r="T21" t="s">
        <v>78</v>
      </c>
      <c r="U21">
        <v>80</v>
      </c>
      <c r="V21">
        <v>60</v>
      </c>
      <c r="W21">
        <v>81</v>
      </c>
      <c r="X21" s="2">
        <f>AVERAGE(Query1[[#This Row],[Assignment 1 Score]],Query1[[#This Row],[Assignment 2 Score]],Query1[[#This Row],[Midterm Exam Score]])</f>
        <v>73.666666666666671</v>
      </c>
      <c r="Y21" t="str" cm="1">
        <f t="array" ref="Y2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21" s="3">
        <f>Query1[[#This Row],[Final Score]]*5/100</f>
        <v>3.6833333333333336</v>
      </c>
      <c r="AA21" s="4">
        <v>0.89799999999999991</v>
      </c>
      <c r="AB21" s="4"/>
      <c r="AC21" s="5">
        <v>12960</v>
      </c>
      <c r="AD21" s="5">
        <v>0</v>
      </c>
      <c r="AE21" s="5">
        <f>Query1[[#This Row],[Tuition Fee]]-Query1[[#This Row],[Scholarship Amount]]</f>
        <v>12960</v>
      </c>
      <c r="AF21" t="s">
        <v>31</v>
      </c>
    </row>
    <row r="22" spans="1:32" x14ac:dyDescent="0.35">
      <c r="A22" t="s">
        <v>142</v>
      </c>
      <c r="B22" t="s">
        <v>772</v>
      </c>
      <c r="C22" t="s">
        <v>1111</v>
      </c>
      <c r="D22" t="str">
        <f>LEFT(Query1[[#This Row],[First Name]],1) &amp; "." &amp; Query1[[#This Row],[Last Name]] &amp; "@university.edu"</f>
        <v>C.Spere@university.edu</v>
      </c>
      <c r="E22" t="s">
        <v>32</v>
      </c>
      <c r="F22" s="1">
        <v>36006</v>
      </c>
      <c r="G22" s="2">
        <f ca="1">DATEDIF(Query1[[#This Row],[Date of Birth]],TODAY(),"Y")</f>
        <v>27</v>
      </c>
      <c r="H22" t="s">
        <v>62</v>
      </c>
      <c r="I22">
        <v>2020</v>
      </c>
      <c r="J22" t="s">
        <v>34</v>
      </c>
      <c r="K22" t="s">
        <v>35</v>
      </c>
      <c r="N22" t="s">
        <v>143</v>
      </c>
      <c r="O22" t="s">
        <v>37</v>
      </c>
      <c r="P22">
        <v>3</v>
      </c>
      <c r="Q22" t="s">
        <v>89</v>
      </c>
      <c r="R22" t="s">
        <v>90</v>
      </c>
      <c r="S22" t="s">
        <v>40</v>
      </c>
      <c r="T22" t="s">
        <v>41</v>
      </c>
      <c r="U22">
        <v>69</v>
      </c>
      <c r="V22">
        <v>71</v>
      </c>
      <c r="W22">
        <v>60</v>
      </c>
      <c r="X22" s="2">
        <f>AVERAGE(Query1[[#This Row],[Assignment 1 Score]],Query1[[#This Row],[Assignment 2 Score]],Query1[[#This Row],[Midterm Exam Score]])</f>
        <v>66.666666666666671</v>
      </c>
      <c r="Y22" t="str" cm="1">
        <f t="array" ref="Y2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2" s="3">
        <f>Query1[[#This Row],[Final Score]]*5/100</f>
        <v>3.3333333333333339</v>
      </c>
      <c r="AA22" s="4">
        <v>0.87349999999999994</v>
      </c>
      <c r="AB22" s="4"/>
      <c r="AC22" s="5">
        <v>12483</v>
      </c>
      <c r="AD22" s="5">
        <v>5000</v>
      </c>
      <c r="AE22" s="5">
        <f>Query1[[#This Row],[Tuition Fee]]-Query1[[#This Row],[Scholarship Amount]]</f>
        <v>7483</v>
      </c>
      <c r="AF22" t="s">
        <v>60</v>
      </c>
    </row>
    <row r="23" spans="1:32" x14ac:dyDescent="0.35">
      <c r="A23" t="s">
        <v>144</v>
      </c>
      <c r="B23" t="s">
        <v>773</v>
      </c>
      <c r="C23" t="s">
        <v>1112</v>
      </c>
      <c r="D23" t="str">
        <f>LEFT(Query1[[#This Row],[First Name]],1) &amp; "." &amp; Query1[[#This Row],[Last Name]] &amp; "@university.edu"</f>
        <v>L.MacIlhargy@university.edu</v>
      </c>
      <c r="E23" t="s">
        <v>43</v>
      </c>
      <c r="F23" s="1">
        <v>36016</v>
      </c>
      <c r="G23" s="2">
        <f ca="1">DATEDIF(Query1[[#This Row],[Date of Birth]],TODAY(),"Y")</f>
        <v>27</v>
      </c>
      <c r="H23" t="s">
        <v>71</v>
      </c>
      <c r="I23">
        <v>2021</v>
      </c>
      <c r="J23" t="s">
        <v>45</v>
      </c>
      <c r="K23" t="s">
        <v>46</v>
      </c>
      <c r="N23" t="s">
        <v>145</v>
      </c>
      <c r="O23" t="s">
        <v>48</v>
      </c>
      <c r="P23">
        <v>3</v>
      </c>
      <c r="Q23" t="s">
        <v>38</v>
      </c>
      <c r="R23" t="s">
        <v>39</v>
      </c>
      <c r="S23" t="s">
        <v>29</v>
      </c>
      <c r="T23" t="s">
        <v>51</v>
      </c>
      <c r="U23">
        <v>83</v>
      </c>
      <c r="V23">
        <v>83</v>
      </c>
      <c r="W23">
        <v>90</v>
      </c>
      <c r="X23" s="2">
        <f>AVERAGE(Query1[[#This Row],[Assignment 1 Score]],Query1[[#This Row],[Assignment 2 Score]],Query1[[#This Row],[Midterm Exam Score]])</f>
        <v>85.333333333333329</v>
      </c>
      <c r="Y23" t="str" cm="1">
        <f t="array" ref="Y2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23" s="3">
        <f>Query1[[#This Row],[Final Score]]*5/100</f>
        <v>4.2666666666666666</v>
      </c>
      <c r="AA23" s="4">
        <v>0.92174999999999996</v>
      </c>
      <c r="AB23" s="4"/>
      <c r="AC23" s="5">
        <v>13006</v>
      </c>
      <c r="AD23" s="5">
        <v>1000</v>
      </c>
      <c r="AE23" s="5">
        <f>Query1[[#This Row],[Tuition Fee]]-Query1[[#This Row],[Scholarship Amount]]</f>
        <v>12006</v>
      </c>
      <c r="AF23" t="s">
        <v>31</v>
      </c>
    </row>
    <row r="24" spans="1:32" x14ac:dyDescent="0.35">
      <c r="A24" t="s">
        <v>146</v>
      </c>
      <c r="B24" t="s">
        <v>774</v>
      </c>
      <c r="C24" t="s">
        <v>1113</v>
      </c>
      <c r="D24" t="str">
        <f>LEFT(Query1[[#This Row],[First Name]],1) &amp; "." &amp; Query1[[#This Row],[Last Name]] &amp; "@university.edu"</f>
        <v>T.Blanc@university.edu</v>
      </c>
      <c r="E24" t="s">
        <v>32</v>
      </c>
      <c r="F24" s="1">
        <v>36026</v>
      </c>
      <c r="G24" s="2">
        <f ca="1">DATEDIF(Query1[[#This Row],[Date of Birth]],TODAY(),"Y")</f>
        <v>27</v>
      </c>
      <c r="H24" t="s">
        <v>80</v>
      </c>
      <c r="I24">
        <v>2022</v>
      </c>
      <c r="J24" t="s">
        <v>54</v>
      </c>
      <c r="K24" t="s">
        <v>55</v>
      </c>
      <c r="N24" t="s">
        <v>147</v>
      </c>
      <c r="O24" t="s">
        <v>57</v>
      </c>
      <c r="P24">
        <v>3</v>
      </c>
      <c r="Q24" t="s">
        <v>49</v>
      </c>
      <c r="R24" t="s">
        <v>50</v>
      </c>
      <c r="S24" t="s">
        <v>40</v>
      </c>
      <c r="T24" t="s">
        <v>30</v>
      </c>
      <c r="U24">
        <v>62</v>
      </c>
      <c r="V24">
        <v>68</v>
      </c>
      <c r="W24">
        <v>69</v>
      </c>
      <c r="X24" s="2">
        <f>AVERAGE(Query1[[#This Row],[Assignment 1 Score]],Query1[[#This Row],[Assignment 2 Score]],Query1[[#This Row],[Midterm Exam Score]])</f>
        <v>66.333333333333329</v>
      </c>
      <c r="Y24" t="str" cm="1">
        <f t="array" ref="Y2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4" s="3">
        <f>Query1[[#This Row],[Final Score]]*5/100</f>
        <v>3.3166666666666664</v>
      </c>
      <c r="AA24" s="4">
        <v>0.87349999999999994</v>
      </c>
      <c r="AB24" s="4"/>
      <c r="AC24" s="5">
        <v>11029</v>
      </c>
      <c r="AD24" s="5">
        <v>1000</v>
      </c>
      <c r="AE24" s="5">
        <f>Query1[[#This Row],[Tuition Fee]]-Query1[[#This Row],[Scholarship Amount]]</f>
        <v>10029</v>
      </c>
      <c r="AF24" t="s">
        <v>31</v>
      </c>
    </row>
    <row r="25" spans="1:32" x14ac:dyDescent="0.35">
      <c r="A25" t="s">
        <v>148</v>
      </c>
      <c r="B25" t="s">
        <v>775</v>
      </c>
      <c r="C25" t="s">
        <v>1114</v>
      </c>
      <c r="D25" t="str">
        <f>LEFT(Query1[[#This Row],[First Name]],1) &amp; "." &amp; Query1[[#This Row],[Last Name]] &amp; "@university.edu"</f>
        <v>G.Vasyaev@university.edu</v>
      </c>
      <c r="E25" t="s">
        <v>43</v>
      </c>
      <c r="F25" s="1">
        <v>36036</v>
      </c>
      <c r="G25" s="2">
        <f ca="1">DATEDIF(Query1[[#This Row],[Date of Birth]],TODAY(),"Y")</f>
        <v>27</v>
      </c>
      <c r="H25" t="s">
        <v>85</v>
      </c>
      <c r="I25">
        <v>2023</v>
      </c>
      <c r="J25" t="s">
        <v>63</v>
      </c>
      <c r="K25" t="s">
        <v>98</v>
      </c>
      <c r="N25" t="s">
        <v>149</v>
      </c>
      <c r="O25" t="s">
        <v>100</v>
      </c>
      <c r="P25">
        <v>5</v>
      </c>
      <c r="Q25" t="s">
        <v>58</v>
      </c>
      <c r="R25" t="s">
        <v>59</v>
      </c>
      <c r="S25" t="s">
        <v>29</v>
      </c>
      <c r="T25" t="s">
        <v>69</v>
      </c>
      <c r="U25">
        <v>86</v>
      </c>
      <c r="V25">
        <v>80</v>
      </c>
      <c r="W25">
        <v>83</v>
      </c>
      <c r="X25" s="2">
        <f>AVERAGE(Query1[[#This Row],[Assignment 1 Score]],Query1[[#This Row],[Assignment 2 Score]],Query1[[#This Row],[Midterm Exam Score]])</f>
        <v>83</v>
      </c>
      <c r="Y25" t="str" cm="1">
        <f t="array" ref="Y2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25" s="3">
        <f>Query1[[#This Row],[Final Score]]*5/100</f>
        <v>4.1500000000000004</v>
      </c>
      <c r="AA25" s="4">
        <v>0.91349999999999998</v>
      </c>
      <c r="AB25" s="4"/>
      <c r="AC25" s="5">
        <v>15052</v>
      </c>
      <c r="AD25" s="5">
        <v>0</v>
      </c>
      <c r="AE25" s="5">
        <f>Query1[[#This Row],[Tuition Fee]]-Query1[[#This Row],[Scholarship Amount]]</f>
        <v>15052</v>
      </c>
      <c r="AF25" t="s">
        <v>60</v>
      </c>
    </row>
    <row r="26" spans="1:32" x14ac:dyDescent="0.35">
      <c r="A26" t="s">
        <v>150</v>
      </c>
      <c r="B26" t="s">
        <v>776</v>
      </c>
      <c r="C26" t="s">
        <v>1115</v>
      </c>
      <c r="D26" t="str">
        <f>LEFT(Query1[[#This Row],[First Name]],1) &amp; "." &amp; Query1[[#This Row],[Last Name]] &amp; "@university.edu"</f>
        <v>G.Borel@university.edu</v>
      </c>
      <c r="E26" t="s">
        <v>32</v>
      </c>
      <c r="F26" s="1">
        <v>36046</v>
      </c>
      <c r="G26" s="2">
        <f ca="1">DATEDIF(Query1[[#This Row],[Date of Birth]],TODAY(),"Y")</f>
        <v>27</v>
      </c>
      <c r="H26" t="s">
        <v>92</v>
      </c>
      <c r="I26">
        <v>2019</v>
      </c>
      <c r="J26" t="s">
        <v>72</v>
      </c>
      <c r="K26" t="s">
        <v>73</v>
      </c>
      <c r="N26" t="s">
        <v>151</v>
      </c>
      <c r="O26" t="s">
        <v>75</v>
      </c>
      <c r="P26">
        <v>4</v>
      </c>
      <c r="Q26" t="s">
        <v>67</v>
      </c>
      <c r="R26" t="s">
        <v>68</v>
      </c>
      <c r="S26" t="s">
        <v>40</v>
      </c>
      <c r="T26" t="s">
        <v>78</v>
      </c>
      <c r="U26">
        <v>65</v>
      </c>
      <c r="V26">
        <v>65</v>
      </c>
      <c r="W26">
        <v>62</v>
      </c>
      <c r="X26" s="2">
        <f>AVERAGE(Query1[[#This Row],[Assignment 1 Score]],Query1[[#This Row],[Assignment 2 Score]],Query1[[#This Row],[Midterm Exam Score]])</f>
        <v>64</v>
      </c>
      <c r="Y26" t="str" cm="1">
        <f t="array" ref="Y2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26" s="3">
        <f>Query1[[#This Row],[Final Score]]*5/100</f>
        <v>3.2</v>
      </c>
      <c r="AA26" s="4">
        <v>0.86524999999999996</v>
      </c>
      <c r="AB26" s="4"/>
      <c r="AC26" s="5">
        <v>12575</v>
      </c>
      <c r="AD26" s="5">
        <v>1000</v>
      </c>
      <c r="AE26" s="5">
        <f>Query1[[#This Row],[Tuition Fee]]-Query1[[#This Row],[Scholarship Amount]]</f>
        <v>11575</v>
      </c>
      <c r="AF26" t="s">
        <v>31</v>
      </c>
    </row>
    <row r="27" spans="1:32" x14ac:dyDescent="0.35">
      <c r="A27" t="s">
        <v>152</v>
      </c>
      <c r="B27" t="s">
        <v>777</v>
      </c>
      <c r="C27" t="s">
        <v>1116</v>
      </c>
      <c r="D27" t="str">
        <f>LEFT(Query1[[#This Row],[First Name]],1) &amp; "." &amp; Query1[[#This Row],[Last Name]] &amp; "@university.edu"</f>
        <v>A.Breeds@university.edu</v>
      </c>
      <c r="E27" t="s">
        <v>43</v>
      </c>
      <c r="F27" s="1">
        <v>36056</v>
      </c>
      <c r="G27" s="2">
        <f ca="1">DATEDIF(Query1[[#This Row],[Date of Birth]],TODAY(),"Y")</f>
        <v>27</v>
      </c>
      <c r="H27" t="s">
        <v>97</v>
      </c>
      <c r="I27">
        <v>2020</v>
      </c>
      <c r="J27" t="s">
        <v>34</v>
      </c>
      <c r="K27" t="s">
        <v>35</v>
      </c>
      <c r="N27" t="s">
        <v>153</v>
      </c>
      <c r="O27" t="s">
        <v>37</v>
      </c>
      <c r="P27">
        <v>3</v>
      </c>
      <c r="Q27" t="s">
        <v>76</v>
      </c>
      <c r="R27" t="s">
        <v>77</v>
      </c>
      <c r="S27" t="s">
        <v>29</v>
      </c>
      <c r="T27" t="s">
        <v>41</v>
      </c>
      <c r="U27">
        <v>79</v>
      </c>
      <c r="V27">
        <v>43</v>
      </c>
      <c r="W27">
        <v>76</v>
      </c>
      <c r="X27" s="2">
        <f>AVERAGE(Query1[[#This Row],[Assignment 1 Score]],Query1[[#This Row],[Assignment 2 Score]],Query1[[#This Row],[Midterm Exam Score]])</f>
        <v>66</v>
      </c>
      <c r="Y27" t="str" cm="1">
        <f t="array" ref="Y2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7" s="3">
        <f>Query1[[#This Row],[Final Score]]*5/100</f>
        <v>3.3</v>
      </c>
      <c r="AA27" s="4">
        <v>0.90449999999999997</v>
      </c>
      <c r="AB27" s="4"/>
      <c r="AC27" s="5">
        <v>12098</v>
      </c>
      <c r="AD27" s="5">
        <v>1000</v>
      </c>
      <c r="AE27" s="5">
        <f>Query1[[#This Row],[Tuition Fee]]-Query1[[#This Row],[Scholarship Amount]]</f>
        <v>11098</v>
      </c>
      <c r="AF27" t="s">
        <v>31</v>
      </c>
    </row>
    <row r="28" spans="1:32" x14ac:dyDescent="0.35">
      <c r="A28" t="s">
        <v>154</v>
      </c>
      <c r="B28" t="s">
        <v>778</v>
      </c>
      <c r="C28" t="s">
        <v>1117</v>
      </c>
      <c r="D28" t="str">
        <f>LEFT(Query1[[#This Row],[First Name]],1) &amp; "." &amp; Query1[[#This Row],[Last Name]] &amp; "@university.edu"</f>
        <v>S.Gocke@university.edu</v>
      </c>
      <c r="E28" t="s">
        <v>32</v>
      </c>
      <c r="F28" s="1">
        <v>36066</v>
      </c>
      <c r="G28" s="2">
        <f ca="1">DATEDIF(Query1[[#This Row],[Date of Birth]],TODAY(),"Y")</f>
        <v>27</v>
      </c>
      <c r="H28" t="s">
        <v>102</v>
      </c>
      <c r="I28">
        <v>2021</v>
      </c>
      <c r="J28" t="s">
        <v>45</v>
      </c>
      <c r="K28" t="s">
        <v>86</v>
      </c>
      <c r="N28" t="s">
        <v>155</v>
      </c>
      <c r="O28" t="s">
        <v>88</v>
      </c>
      <c r="P28">
        <v>3</v>
      </c>
      <c r="Q28" t="s">
        <v>82</v>
      </c>
      <c r="R28" t="s">
        <v>83</v>
      </c>
      <c r="S28" t="s">
        <v>40</v>
      </c>
      <c r="T28" t="s">
        <v>51</v>
      </c>
      <c r="U28">
        <v>68</v>
      </c>
      <c r="V28">
        <v>62</v>
      </c>
      <c r="W28">
        <v>71</v>
      </c>
      <c r="X28" s="2">
        <f>AVERAGE(Query1[[#This Row],[Assignment 1 Score]],Query1[[#This Row],[Assignment 2 Score]],Query1[[#This Row],[Midterm Exam Score]])</f>
        <v>67</v>
      </c>
      <c r="Y28" t="str" cm="1">
        <f t="array" ref="Y2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8" s="3">
        <f>Query1[[#This Row],[Final Score]]*5/100</f>
        <v>3.35</v>
      </c>
      <c r="AA28" s="4">
        <v>0.86899999999999999</v>
      </c>
      <c r="AB28" s="4"/>
      <c r="AC28" s="5">
        <v>13121</v>
      </c>
      <c r="AD28" s="5">
        <v>2000</v>
      </c>
      <c r="AE28" s="5">
        <f>Query1[[#This Row],[Tuition Fee]]-Query1[[#This Row],[Scholarship Amount]]</f>
        <v>11121</v>
      </c>
      <c r="AF28" t="s">
        <v>60</v>
      </c>
    </row>
    <row r="29" spans="1:32" x14ac:dyDescent="0.35">
      <c r="A29" t="s">
        <v>156</v>
      </c>
      <c r="B29" t="s">
        <v>779</v>
      </c>
      <c r="C29" t="s">
        <v>1118</v>
      </c>
      <c r="D29" t="str">
        <f>LEFT(Query1[[#This Row],[First Name]],1) &amp; "." &amp; Query1[[#This Row],[Last Name]] &amp; "@university.edu"</f>
        <v>I.Gookes@university.edu</v>
      </c>
      <c r="E29" t="s">
        <v>43</v>
      </c>
      <c r="F29" s="1">
        <v>36076</v>
      </c>
      <c r="G29" s="2">
        <f ca="1">DATEDIF(Query1[[#This Row],[Date of Birth]],TODAY(),"Y")</f>
        <v>27</v>
      </c>
      <c r="H29" t="s">
        <v>105</v>
      </c>
      <c r="I29">
        <v>2022</v>
      </c>
      <c r="J29" t="s">
        <v>54</v>
      </c>
      <c r="K29" t="s">
        <v>93</v>
      </c>
      <c r="N29" t="s">
        <v>157</v>
      </c>
      <c r="O29" t="s">
        <v>95</v>
      </c>
      <c r="P29">
        <v>3</v>
      </c>
      <c r="Q29" t="s">
        <v>89</v>
      </c>
      <c r="R29" t="s">
        <v>90</v>
      </c>
      <c r="S29" t="s">
        <v>29</v>
      </c>
      <c r="T29" t="s">
        <v>30</v>
      </c>
      <c r="U29">
        <v>82</v>
      </c>
      <c r="V29">
        <v>82</v>
      </c>
      <c r="W29">
        <v>85</v>
      </c>
      <c r="X29" s="2">
        <f>AVERAGE(Query1[[#This Row],[Assignment 1 Score]],Query1[[#This Row],[Assignment 2 Score]],Query1[[#This Row],[Midterm Exam Score]])</f>
        <v>83</v>
      </c>
      <c r="Y29" t="str" cm="1">
        <f t="array" ref="Y2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29" s="3">
        <f>Query1[[#This Row],[Final Score]]*5/100</f>
        <v>4.1500000000000004</v>
      </c>
      <c r="AA29" s="4">
        <v>0.90825</v>
      </c>
      <c r="AB29" s="4"/>
      <c r="AC29" s="5">
        <v>11144</v>
      </c>
      <c r="AD29" s="5">
        <v>0</v>
      </c>
      <c r="AE29" s="5">
        <f>Query1[[#This Row],[Tuition Fee]]-Query1[[#This Row],[Scholarship Amount]]</f>
        <v>11144</v>
      </c>
      <c r="AF29" t="s">
        <v>31</v>
      </c>
    </row>
    <row r="30" spans="1:32" x14ac:dyDescent="0.35">
      <c r="A30" t="s">
        <v>158</v>
      </c>
      <c r="B30" t="s">
        <v>780</v>
      </c>
      <c r="C30" t="s">
        <v>1119</v>
      </c>
      <c r="D30" t="str">
        <f>LEFT(Query1[[#This Row],[First Name]],1) &amp; "." &amp; Query1[[#This Row],[Last Name]] &amp; "@university.edu"</f>
        <v>P.Codlin@university.edu</v>
      </c>
      <c r="E30" t="s">
        <v>32</v>
      </c>
      <c r="F30" s="1">
        <v>36086</v>
      </c>
      <c r="G30" s="2">
        <f ca="1">DATEDIF(Query1[[#This Row],[Date of Birth]],TODAY(),"Y")</f>
        <v>27</v>
      </c>
      <c r="H30" t="s">
        <v>108</v>
      </c>
      <c r="I30">
        <v>2023</v>
      </c>
      <c r="J30" t="s">
        <v>63</v>
      </c>
      <c r="K30" t="s">
        <v>120</v>
      </c>
      <c r="N30" t="s">
        <v>159</v>
      </c>
      <c r="O30" t="s">
        <v>122</v>
      </c>
      <c r="P30">
        <v>5</v>
      </c>
      <c r="Q30" t="s">
        <v>38</v>
      </c>
      <c r="R30" t="s">
        <v>39</v>
      </c>
      <c r="S30" t="s">
        <v>40</v>
      </c>
      <c r="T30" t="s">
        <v>69</v>
      </c>
      <c r="U30">
        <v>32</v>
      </c>
      <c r="V30">
        <v>67</v>
      </c>
      <c r="W30">
        <v>64</v>
      </c>
      <c r="X30" s="2">
        <f>AVERAGE(Query1[[#This Row],[Assignment 1 Score]],Query1[[#This Row],[Assignment 2 Score]],Query1[[#This Row],[Midterm Exam Score]])</f>
        <v>54.333333333333336</v>
      </c>
      <c r="Y30" t="str" cm="1">
        <f t="array" ref="Y3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30" s="3">
        <f>Query1[[#This Row],[Final Score]]*5/100</f>
        <v>2.7166666666666668</v>
      </c>
      <c r="AA30" s="4">
        <v>0.86</v>
      </c>
      <c r="AB30" s="4"/>
      <c r="AC30" s="5">
        <v>15167</v>
      </c>
      <c r="AD30" s="5">
        <v>1000</v>
      </c>
      <c r="AE30" s="5">
        <f>Query1[[#This Row],[Tuition Fee]]-Query1[[#This Row],[Scholarship Amount]]</f>
        <v>14167</v>
      </c>
      <c r="AF30" t="s">
        <v>31</v>
      </c>
    </row>
    <row r="31" spans="1:32" x14ac:dyDescent="0.35">
      <c r="A31" t="s">
        <v>160</v>
      </c>
      <c r="B31" t="s">
        <v>781</v>
      </c>
      <c r="C31" t="s">
        <v>1120</v>
      </c>
      <c r="D31" t="str">
        <f>LEFT(Query1[[#This Row],[First Name]],1) &amp; "." &amp; Query1[[#This Row],[Last Name]] &amp; "@university.edu"</f>
        <v>L.Favell@university.edu</v>
      </c>
      <c r="E31" t="s">
        <v>43</v>
      </c>
      <c r="F31" s="1">
        <v>36096</v>
      </c>
      <c r="G31" s="2">
        <f ca="1">DATEDIF(Query1[[#This Row],[Date of Birth]],TODAY(),"Y")</f>
        <v>27</v>
      </c>
      <c r="H31" t="s">
        <v>113</v>
      </c>
      <c r="I31">
        <v>2019</v>
      </c>
      <c r="J31" t="s">
        <v>72</v>
      </c>
      <c r="K31" t="s">
        <v>73</v>
      </c>
      <c r="N31" t="s">
        <v>161</v>
      </c>
      <c r="O31" t="s">
        <v>75</v>
      </c>
      <c r="P31">
        <v>4</v>
      </c>
      <c r="Q31" t="s">
        <v>49</v>
      </c>
      <c r="R31" t="s">
        <v>50</v>
      </c>
      <c r="S31" t="s">
        <v>29</v>
      </c>
      <c r="T31" t="s">
        <v>78</v>
      </c>
      <c r="U31">
        <v>75</v>
      </c>
      <c r="V31">
        <v>79</v>
      </c>
      <c r="W31">
        <v>78</v>
      </c>
      <c r="X31" s="2">
        <f>AVERAGE(Query1[[#This Row],[Assignment 1 Score]],Query1[[#This Row],[Assignment 2 Score]],Query1[[#This Row],[Midterm Exam Score]])</f>
        <v>77.333333333333329</v>
      </c>
      <c r="Y31" t="str" cm="1">
        <f t="array" ref="Y3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31" s="3">
        <f>Query1[[#This Row],[Final Score]]*5/100</f>
        <v>3.8666666666666663</v>
      </c>
      <c r="AA31" s="4">
        <v>0.89624999999999999</v>
      </c>
      <c r="AB31" s="4"/>
      <c r="AC31" s="5">
        <v>12690</v>
      </c>
      <c r="AD31" s="5">
        <v>2000</v>
      </c>
      <c r="AE31" s="5">
        <f>Query1[[#This Row],[Tuition Fee]]-Query1[[#This Row],[Scholarship Amount]]</f>
        <v>10690</v>
      </c>
      <c r="AF31" t="s">
        <v>60</v>
      </c>
    </row>
    <row r="32" spans="1:32" x14ac:dyDescent="0.35">
      <c r="A32" t="s">
        <v>162</v>
      </c>
      <c r="B32" t="s">
        <v>782</v>
      </c>
      <c r="C32" t="s">
        <v>1121</v>
      </c>
      <c r="D32" t="str">
        <f>LEFT(Query1[[#This Row],[First Name]],1) &amp; "." &amp; Query1[[#This Row],[Last Name]] &amp; "@university.edu"</f>
        <v>C.Djordjevic@university.edu</v>
      </c>
      <c r="E32" t="s">
        <v>32</v>
      </c>
      <c r="F32" s="1">
        <v>36106</v>
      </c>
      <c r="G32" s="2">
        <f ca="1">DATEDIF(Query1[[#This Row],[Date of Birth]],TODAY(),"Y")</f>
        <v>27</v>
      </c>
      <c r="H32" t="s">
        <v>119</v>
      </c>
      <c r="I32">
        <v>2020</v>
      </c>
      <c r="J32" t="s">
        <v>34</v>
      </c>
      <c r="K32" t="s">
        <v>35</v>
      </c>
      <c r="N32" t="s">
        <v>163</v>
      </c>
      <c r="O32" t="s">
        <v>37</v>
      </c>
      <c r="P32">
        <v>3</v>
      </c>
      <c r="Q32" t="s">
        <v>58</v>
      </c>
      <c r="R32" t="s">
        <v>59</v>
      </c>
      <c r="S32" t="s">
        <v>40</v>
      </c>
      <c r="T32" t="s">
        <v>41</v>
      </c>
      <c r="U32">
        <v>64</v>
      </c>
      <c r="V32">
        <v>64</v>
      </c>
      <c r="W32">
        <v>57</v>
      </c>
      <c r="X32" s="2">
        <f>AVERAGE(Query1[[#This Row],[Assignment 1 Score]],Query1[[#This Row],[Assignment 2 Score]],Query1[[#This Row],[Midterm Exam Score]])</f>
        <v>61.666666666666664</v>
      </c>
      <c r="Y32" t="str" cm="1">
        <f t="array" ref="Y3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32" s="3">
        <f>Query1[[#This Row],[Final Score]]*5/100</f>
        <v>3.083333333333333</v>
      </c>
      <c r="AA32" s="4">
        <v>0.85175000000000001</v>
      </c>
      <c r="AB32" s="4"/>
      <c r="AC32" s="5">
        <v>12213</v>
      </c>
      <c r="AD32" s="5">
        <v>1000</v>
      </c>
      <c r="AE32" s="5">
        <f>Query1[[#This Row],[Tuition Fee]]-Query1[[#This Row],[Scholarship Amount]]</f>
        <v>11213</v>
      </c>
      <c r="AF32" t="s">
        <v>31</v>
      </c>
    </row>
    <row r="33" spans="1:32" x14ac:dyDescent="0.35">
      <c r="A33" t="s">
        <v>164</v>
      </c>
      <c r="B33" t="s">
        <v>783</v>
      </c>
      <c r="C33" t="s">
        <v>1122</v>
      </c>
      <c r="D33" t="str">
        <f>LEFT(Query1[[#This Row],[First Name]],1) &amp; "." &amp; Query1[[#This Row],[Last Name]] &amp; "@university.edu"</f>
        <v>C.Almey@university.edu</v>
      </c>
      <c r="E33" t="s">
        <v>43</v>
      </c>
      <c r="F33" s="1">
        <v>36116</v>
      </c>
      <c r="G33" s="2">
        <f ca="1">DATEDIF(Query1[[#This Row],[Date of Birth]],TODAY(),"Y")</f>
        <v>27</v>
      </c>
      <c r="H33" t="s">
        <v>124</v>
      </c>
      <c r="I33">
        <v>2021</v>
      </c>
      <c r="J33" t="s">
        <v>45</v>
      </c>
      <c r="K33" t="s">
        <v>109</v>
      </c>
      <c r="N33" t="s">
        <v>165</v>
      </c>
      <c r="O33" t="s">
        <v>111</v>
      </c>
      <c r="P33">
        <v>3</v>
      </c>
      <c r="Q33" t="s">
        <v>67</v>
      </c>
      <c r="R33" t="s">
        <v>68</v>
      </c>
      <c r="S33" t="s">
        <v>29</v>
      </c>
      <c r="T33" t="s">
        <v>51</v>
      </c>
      <c r="U33">
        <v>78</v>
      </c>
      <c r="V33">
        <v>76</v>
      </c>
      <c r="W33">
        <v>71</v>
      </c>
      <c r="X33" s="2">
        <f>AVERAGE(Query1[[#This Row],[Assignment 1 Score]],Query1[[#This Row],[Assignment 2 Score]],Query1[[#This Row],[Midterm Exam Score]])</f>
        <v>75</v>
      </c>
      <c r="Y33" t="str" cm="1">
        <f t="array" ref="Y3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33" s="3">
        <f>Query1[[#This Row],[Final Score]]*5/100</f>
        <v>3.75</v>
      </c>
      <c r="AA33" s="4">
        <v>0.8879999999999999</v>
      </c>
      <c r="AB33" s="4"/>
      <c r="AC33" s="5">
        <v>13236</v>
      </c>
      <c r="AD33" s="5">
        <v>0</v>
      </c>
      <c r="AE33" s="5">
        <f>Query1[[#This Row],[Tuition Fee]]-Query1[[#This Row],[Scholarship Amount]]</f>
        <v>13236</v>
      </c>
      <c r="AF33" t="s">
        <v>31</v>
      </c>
    </row>
    <row r="34" spans="1:32" x14ac:dyDescent="0.35">
      <c r="A34" t="s">
        <v>166</v>
      </c>
      <c r="B34" t="s">
        <v>784</v>
      </c>
      <c r="C34" t="s">
        <v>1123</v>
      </c>
      <c r="D34" t="str">
        <f>LEFT(Query1[[#This Row],[First Name]],1) &amp; "." &amp; Query1[[#This Row],[Last Name]] &amp; "@university.edu"</f>
        <v>T.Renner@university.edu</v>
      </c>
      <c r="E34" t="s">
        <v>32</v>
      </c>
      <c r="F34" s="1">
        <v>36126</v>
      </c>
      <c r="G34" s="2">
        <f ca="1">DATEDIF(Query1[[#This Row],[Date of Birth]],TODAY(),"Y")</f>
        <v>26</v>
      </c>
      <c r="H34" t="s">
        <v>127</v>
      </c>
      <c r="I34">
        <v>2022</v>
      </c>
      <c r="J34" t="s">
        <v>54</v>
      </c>
      <c r="K34" t="s">
        <v>114</v>
      </c>
      <c r="N34" t="s">
        <v>167</v>
      </c>
      <c r="O34" t="s">
        <v>116</v>
      </c>
      <c r="P34">
        <v>3</v>
      </c>
      <c r="Q34" t="s">
        <v>76</v>
      </c>
      <c r="R34" t="s">
        <v>77</v>
      </c>
      <c r="S34" t="s">
        <v>40</v>
      </c>
      <c r="T34" t="s">
        <v>30</v>
      </c>
      <c r="U34">
        <v>57</v>
      </c>
      <c r="V34">
        <v>61</v>
      </c>
      <c r="W34">
        <v>66</v>
      </c>
      <c r="X34" s="2">
        <f>AVERAGE(Query1[[#This Row],[Assignment 1 Score]],Query1[[#This Row],[Assignment 2 Score]],Query1[[#This Row],[Midterm Exam Score]])</f>
        <v>61.333333333333336</v>
      </c>
      <c r="Y34" t="str" cm="1">
        <f t="array" ref="Y3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34" s="3">
        <f>Query1[[#This Row],[Final Score]]*5/100</f>
        <v>3.0666666666666669</v>
      </c>
      <c r="AA34" s="4">
        <v>0.85175000000000001</v>
      </c>
      <c r="AB34" s="4"/>
      <c r="AC34" s="5">
        <v>11259</v>
      </c>
      <c r="AD34" s="5">
        <v>2000</v>
      </c>
      <c r="AE34" s="5">
        <f>Query1[[#This Row],[Tuition Fee]]-Query1[[#This Row],[Scholarship Amount]]</f>
        <v>9259</v>
      </c>
      <c r="AF34" t="s">
        <v>60</v>
      </c>
    </row>
    <row r="35" spans="1:32" x14ac:dyDescent="0.35">
      <c r="A35" t="s">
        <v>168</v>
      </c>
      <c r="B35" t="s">
        <v>785</v>
      </c>
      <c r="C35" t="s">
        <v>1124</v>
      </c>
      <c r="D35" t="str">
        <f>LEFT(Query1[[#This Row],[First Name]],1) &amp; "." &amp; Query1[[#This Row],[Last Name]] &amp; "@university.edu"</f>
        <v>A.Piscopiello@university.edu</v>
      </c>
      <c r="E35" t="s">
        <v>43</v>
      </c>
      <c r="F35" s="1">
        <v>36136</v>
      </c>
      <c r="G35" s="2">
        <f ca="1">DATEDIF(Query1[[#This Row],[Date of Birth]],TODAY(),"Y")</f>
        <v>26</v>
      </c>
      <c r="H35" t="s">
        <v>130</v>
      </c>
      <c r="I35">
        <v>2023</v>
      </c>
      <c r="J35" t="s">
        <v>63</v>
      </c>
      <c r="K35" t="s">
        <v>64</v>
      </c>
      <c r="N35" t="s">
        <v>169</v>
      </c>
      <c r="O35" t="s">
        <v>66</v>
      </c>
      <c r="P35">
        <v>5</v>
      </c>
      <c r="Q35" t="s">
        <v>82</v>
      </c>
      <c r="R35" t="s">
        <v>83</v>
      </c>
      <c r="S35" t="s">
        <v>29</v>
      </c>
      <c r="T35" t="s">
        <v>69</v>
      </c>
      <c r="U35">
        <v>81</v>
      </c>
      <c r="V35">
        <v>81</v>
      </c>
      <c r="W35">
        <v>80</v>
      </c>
      <c r="X35" s="2">
        <f>AVERAGE(Query1[[#This Row],[Assignment 1 Score]],Query1[[#This Row],[Assignment 2 Score]],Query1[[#This Row],[Midterm Exam Score]])</f>
        <v>80.666666666666671</v>
      </c>
      <c r="Y35" t="str" cm="1">
        <f t="array" ref="Y3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35" s="3">
        <f>Query1[[#This Row],[Final Score]]*5/100</f>
        <v>4.0333333333333341</v>
      </c>
      <c r="AA35" s="4">
        <v>0.89474999999999993</v>
      </c>
      <c r="AB35" s="4"/>
      <c r="AC35" s="5">
        <v>15282</v>
      </c>
      <c r="AD35" s="5">
        <v>1000</v>
      </c>
      <c r="AE35" s="5">
        <f>Query1[[#This Row],[Tuition Fee]]-Query1[[#This Row],[Scholarship Amount]]</f>
        <v>14282</v>
      </c>
      <c r="AF35" t="s">
        <v>31</v>
      </c>
    </row>
    <row r="36" spans="1:32" x14ac:dyDescent="0.35">
      <c r="A36" t="s">
        <v>170</v>
      </c>
      <c r="B36" t="s">
        <v>786</v>
      </c>
      <c r="C36" t="s">
        <v>1125</v>
      </c>
      <c r="D36" t="str">
        <f>LEFT(Query1[[#This Row],[First Name]],1) &amp; "." &amp; Query1[[#This Row],[Last Name]] &amp; "@university.edu"</f>
        <v>D.Cowlas@university.edu</v>
      </c>
      <c r="E36" t="s">
        <v>32</v>
      </c>
      <c r="F36" s="1">
        <v>36146</v>
      </c>
      <c r="G36" s="2">
        <f ca="1">DATEDIF(Query1[[#This Row],[Date of Birth]],TODAY(),"Y")</f>
        <v>26</v>
      </c>
      <c r="H36" t="s">
        <v>33</v>
      </c>
      <c r="I36">
        <v>2019</v>
      </c>
      <c r="J36" t="s">
        <v>72</v>
      </c>
      <c r="K36" t="s">
        <v>73</v>
      </c>
      <c r="N36" t="s">
        <v>171</v>
      </c>
      <c r="O36" t="s">
        <v>75</v>
      </c>
      <c r="P36">
        <v>4</v>
      </c>
      <c r="Q36" t="s">
        <v>89</v>
      </c>
      <c r="R36" t="s">
        <v>90</v>
      </c>
      <c r="S36" t="s">
        <v>40</v>
      </c>
      <c r="T36" t="s">
        <v>78</v>
      </c>
      <c r="U36">
        <v>60</v>
      </c>
      <c r="V36">
        <v>58</v>
      </c>
      <c r="W36">
        <v>59</v>
      </c>
      <c r="X36" s="2">
        <f>AVERAGE(Query1[[#This Row],[Assignment 1 Score]],Query1[[#This Row],[Assignment 2 Score]],Query1[[#This Row],[Midterm Exam Score]])</f>
        <v>59</v>
      </c>
      <c r="Y36" t="str" cm="1">
        <f t="array" ref="Y3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36" s="3">
        <f>Query1[[#This Row],[Final Score]]*5/100</f>
        <v>2.95</v>
      </c>
      <c r="AA36" s="4">
        <v>0.84349999999999992</v>
      </c>
      <c r="AB36" s="4"/>
      <c r="AC36" s="5">
        <v>12805</v>
      </c>
      <c r="AD36" s="5">
        <v>5000</v>
      </c>
      <c r="AE36" s="5">
        <f>Query1[[#This Row],[Tuition Fee]]-Query1[[#This Row],[Scholarship Amount]]</f>
        <v>7805</v>
      </c>
      <c r="AF36" t="s">
        <v>31</v>
      </c>
    </row>
    <row r="37" spans="1:32" x14ac:dyDescent="0.35">
      <c r="A37" t="s">
        <v>172</v>
      </c>
      <c r="B37" t="s">
        <v>787</v>
      </c>
      <c r="C37" t="s">
        <v>1126</v>
      </c>
      <c r="D37" t="str">
        <f>LEFT(Query1[[#This Row],[First Name]],1) &amp; "." &amp; Query1[[#This Row],[Last Name]] &amp; "@university.edu"</f>
        <v>K.Caley@university.edu</v>
      </c>
      <c r="E37" t="s">
        <v>43</v>
      </c>
      <c r="F37" s="1">
        <v>36156</v>
      </c>
      <c r="G37" s="2">
        <f ca="1">DATEDIF(Query1[[#This Row],[Date of Birth]],TODAY(),"Y")</f>
        <v>26</v>
      </c>
      <c r="H37" t="s">
        <v>44</v>
      </c>
      <c r="I37">
        <v>2020</v>
      </c>
      <c r="J37" t="s">
        <v>34</v>
      </c>
      <c r="K37" t="s">
        <v>35</v>
      </c>
      <c r="N37" t="s">
        <v>173</v>
      </c>
      <c r="O37" t="s">
        <v>37</v>
      </c>
      <c r="P37">
        <v>3</v>
      </c>
      <c r="Q37" t="s">
        <v>38</v>
      </c>
      <c r="R37" t="s">
        <v>39</v>
      </c>
      <c r="S37" t="s">
        <v>29</v>
      </c>
      <c r="T37" t="s">
        <v>41</v>
      </c>
      <c r="U37">
        <v>74</v>
      </c>
      <c r="V37">
        <v>78</v>
      </c>
      <c r="W37">
        <v>73</v>
      </c>
      <c r="X37" s="2">
        <f>AVERAGE(Query1[[#This Row],[Assignment 1 Score]],Query1[[#This Row],[Assignment 2 Score]],Query1[[#This Row],[Midterm Exam Score]])</f>
        <v>75</v>
      </c>
      <c r="Y37" t="str" cm="1">
        <f t="array" ref="Y3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37" s="3">
        <f>Query1[[#This Row],[Final Score]]*5/100</f>
        <v>3.75</v>
      </c>
      <c r="AA37" s="4">
        <v>0.88274999999999992</v>
      </c>
      <c r="AB37" s="4"/>
      <c r="AC37" s="5">
        <v>12328</v>
      </c>
      <c r="AD37" s="5">
        <v>0</v>
      </c>
      <c r="AE37" s="5">
        <f>Query1[[#This Row],[Tuition Fee]]-Query1[[#This Row],[Scholarship Amount]]</f>
        <v>12328</v>
      </c>
      <c r="AF37" t="s">
        <v>60</v>
      </c>
    </row>
    <row r="38" spans="1:32" x14ac:dyDescent="0.35">
      <c r="A38" t="s">
        <v>174</v>
      </c>
      <c r="B38" t="s">
        <v>788</v>
      </c>
      <c r="C38" t="s">
        <v>1127</v>
      </c>
      <c r="D38" t="str">
        <f>LEFT(Query1[[#This Row],[First Name]],1) &amp; "." &amp; Query1[[#This Row],[Last Name]] &amp; "@university.edu"</f>
        <v>S.Kerkham@university.edu</v>
      </c>
      <c r="E38" t="s">
        <v>32</v>
      </c>
      <c r="F38" s="1">
        <v>36166</v>
      </c>
      <c r="G38" s="2">
        <f ca="1">DATEDIF(Query1[[#This Row],[Date of Birth]],TODAY(),"Y")</f>
        <v>26</v>
      </c>
      <c r="H38" t="s">
        <v>53</v>
      </c>
      <c r="I38">
        <v>2021</v>
      </c>
      <c r="J38" t="s">
        <v>45</v>
      </c>
      <c r="K38" t="s">
        <v>131</v>
      </c>
      <c r="N38" t="s">
        <v>175</v>
      </c>
      <c r="O38" t="s">
        <v>133</v>
      </c>
      <c r="P38">
        <v>3</v>
      </c>
      <c r="Q38" t="s">
        <v>49</v>
      </c>
      <c r="R38" t="s">
        <v>50</v>
      </c>
      <c r="S38" t="s">
        <v>40</v>
      </c>
      <c r="T38" t="s">
        <v>51</v>
      </c>
      <c r="U38">
        <v>98</v>
      </c>
      <c r="V38">
        <v>98</v>
      </c>
      <c r="W38">
        <v>87</v>
      </c>
      <c r="X38" s="2">
        <f>AVERAGE(Query1[[#This Row],[Assignment 1 Score]],Query1[[#This Row],[Assignment 2 Score]],Query1[[#This Row],[Midterm Exam Score]])</f>
        <v>94.333333333333329</v>
      </c>
      <c r="Y38" t="str" cm="1">
        <f t="array" ref="Y3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A+</v>
      </c>
      <c r="Z38" s="3">
        <f>Query1[[#This Row],[Final Score]]*5/100</f>
        <v>4.7166666666666659</v>
      </c>
      <c r="AA38" s="4">
        <v>0.92574999999999996</v>
      </c>
      <c r="AB38" s="4"/>
      <c r="AC38" s="5">
        <v>13351</v>
      </c>
      <c r="AD38" s="5">
        <v>1000</v>
      </c>
      <c r="AE38" s="5">
        <f>Query1[[#This Row],[Tuition Fee]]-Query1[[#This Row],[Scholarship Amount]]</f>
        <v>12351</v>
      </c>
      <c r="AF38" t="s">
        <v>31</v>
      </c>
    </row>
    <row r="39" spans="1:32" x14ac:dyDescent="0.35">
      <c r="A39" t="s">
        <v>176</v>
      </c>
      <c r="B39" t="s">
        <v>789</v>
      </c>
      <c r="C39" t="s">
        <v>1128</v>
      </c>
      <c r="D39" t="str">
        <f>LEFT(Query1[[#This Row],[First Name]],1) &amp; "." &amp; Query1[[#This Row],[Last Name]] &amp; "@university.edu"</f>
        <v>G.Arrighini@university.edu</v>
      </c>
      <c r="E39" t="s">
        <v>43</v>
      </c>
      <c r="F39" s="1">
        <v>36176</v>
      </c>
      <c r="G39" s="2">
        <f ca="1">DATEDIF(Query1[[#This Row],[Date of Birth]],TODAY(),"Y")</f>
        <v>26</v>
      </c>
      <c r="H39" t="s">
        <v>62</v>
      </c>
      <c r="I39">
        <v>2022</v>
      </c>
      <c r="J39" t="s">
        <v>54</v>
      </c>
      <c r="K39" t="s">
        <v>135</v>
      </c>
      <c r="N39" t="s">
        <v>177</v>
      </c>
      <c r="O39" t="s">
        <v>137</v>
      </c>
      <c r="P39">
        <v>3</v>
      </c>
      <c r="Q39" t="s">
        <v>58</v>
      </c>
      <c r="R39" t="s">
        <v>59</v>
      </c>
      <c r="S39" t="s">
        <v>29</v>
      </c>
      <c r="T39" t="s">
        <v>30</v>
      </c>
      <c r="U39">
        <v>77</v>
      </c>
      <c r="V39">
        <v>75</v>
      </c>
      <c r="W39">
        <v>82</v>
      </c>
      <c r="X39" s="2">
        <f>AVERAGE(Query1[[#This Row],[Assignment 1 Score]],Query1[[#This Row],[Assignment 2 Score]],Query1[[#This Row],[Midterm Exam Score]])</f>
        <v>78</v>
      </c>
      <c r="Y39" t="str" cm="1">
        <f t="array" ref="Y3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39" s="3">
        <f>Query1[[#This Row],[Final Score]]*5/100</f>
        <v>3.9</v>
      </c>
      <c r="AA39" s="4">
        <v>0.88649999999999995</v>
      </c>
      <c r="AB39" s="4"/>
      <c r="AC39" s="5">
        <v>11374</v>
      </c>
      <c r="AD39" s="5">
        <v>1000</v>
      </c>
      <c r="AE39" s="5">
        <f>Query1[[#This Row],[Tuition Fee]]-Query1[[#This Row],[Scholarship Amount]]</f>
        <v>10374</v>
      </c>
      <c r="AF39" t="s">
        <v>31</v>
      </c>
    </row>
    <row r="40" spans="1:32" x14ac:dyDescent="0.35">
      <c r="A40" t="s">
        <v>178</v>
      </c>
      <c r="B40" t="s">
        <v>790</v>
      </c>
      <c r="C40" t="s">
        <v>1129</v>
      </c>
      <c r="D40" t="str">
        <f>LEFT(Query1[[#This Row],[First Name]],1) &amp; "." &amp; Query1[[#This Row],[Last Name]] &amp; "@university.edu"</f>
        <v>N.Goymer@university.edu</v>
      </c>
      <c r="E40" t="s">
        <v>32</v>
      </c>
      <c r="F40" s="1">
        <v>36186</v>
      </c>
      <c r="G40" s="2">
        <f ca="1">DATEDIF(Query1[[#This Row],[Date of Birth]],TODAY(),"Y")</f>
        <v>26</v>
      </c>
      <c r="H40" t="s">
        <v>71</v>
      </c>
      <c r="I40">
        <v>2023</v>
      </c>
      <c r="J40" t="s">
        <v>63</v>
      </c>
      <c r="K40" t="s">
        <v>98</v>
      </c>
      <c r="N40" t="s">
        <v>179</v>
      </c>
      <c r="O40" t="s">
        <v>100</v>
      </c>
      <c r="P40">
        <v>5</v>
      </c>
      <c r="Q40" t="s">
        <v>67</v>
      </c>
      <c r="R40" t="s">
        <v>68</v>
      </c>
      <c r="S40" t="s">
        <v>40</v>
      </c>
      <c r="T40" t="s">
        <v>69</v>
      </c>
      <c r="U40">
        <v>91</v>
      </c>
      <c r="V40">
        <v>95</v>
      </c>
      <c r="W40">
        <v>96</v>
      </c>
      <c r="X40" s="2">
        <f>AVERAGE(Query1[[#This Row],[Assignment 1 Score]],Query1[[#This Row],[Assignment 2 Score]],Query1[[#This Row],[Midterm Exam Score]])</f>
        <v>94</v>
      </c>
      <c r="Y40" t="str" cm="1">
        <f t="array" ref="Y4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A+</v>
      </c>
      <c r="Z40" s="3">
        <f>Query1[[#This Row],[Final Score]]*5/100</f>
        <v>4.7</v>
      </c>
      <c r="AA40" s="4">
        <v>0.92574999999999996</v>
      </c>
      <c r="AB40" s="4"/>
      <c r="AC40" s="5">
        <v>15397</v>
      </c>
      <c r="AD40" s="5">
        <v>2000</v>
      </c>
      <c r="AE40" s="5">
        <f>Query1[[#This Row],[Tuition Fee]]-Query1[[#This Row],[Scholarship Amount]]</f>
        <v>13397</v>
      </c>
      <c r="AF40" t="s">
        <v>60</v>
      </c>
    </row>
    <row r="41" spans="1:32" x14ac:dyDescent="0.35">
      <c r="A41" t="s">
        <v>180</v>
      </c>
      <c r="B41" t="s">
        <v>791</v>
      </c>
      <c r="C41" t="s">
        <v>1130</v>
      </c>
      <c r="D41" t="str">
        <f>LEFT(Query1[[#This Row],[First Name]],1) &amp; "." &amp; Query1[[#This Row],[Last Name]] &amp; "@university.edu"</f>
        <v>A.Seebright@university.edu</v>
      </c>
      <c r="E41" t="s">
        <v>43</v>
      </c>
      <c r="F41" s="1">
        <v>36196</v>
      </c>
      <c r="G41" s="2">
        <f ca="1">DATEDIF(Query1[[#This Row],[Date of Birth]],TODAY(),"Y")</f>
        <v>26</v>
      </c>
      <c r="H41" t="s">
        <v>80</v>
      </c>
      <c r="I41">
        <v>2019</v>
      </c>
      <c r="J41" t="s">
        <v>72</v>
      </c>
      <c r="K41" t="s">
        <v>73</v>
      </c>
      <c r="N41" t="s">
        <v>181</v>
      </c>
      <c r="O41" t="s">
        <v>75</v>
      </c>
      <c r="P41">
        <v>4</v>
      </c>
      <c r="Q41" t="s">
        <v>76</v>
      </c>
      <c r="R41" t="s">
        <v>77</v>
      </c>
      <c r="S41" t="s">
        <v>29</v>
      </c>
      <c r="T41" t="s">
        <v>78</v>
      </c>
      <c r="U41">
        <v>70</v>
      </c>
      <c r="V41">
        <v>72</v>
      </c>
      <c r="W41">
        <v>75</v>
      </c>
      <c r="X41" s="2">
        <f>AVERAGE(Query1[[#This Row],[Assignment 1 Score]],Query1[[#This Row],[Assignment 2 Score]],Query1[[#This Row],[Midterm Exam Score]])</f>
        <v>72.333333333333329</v>
      </c>
      <c r="Y41" t="str" cm="1">
        <f t="array" ref="Y4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41" s="3">
        <f>Query1[[#This Row],[Final Score]]*5/100</f>
        <v>3.6166666666666663</v>
      </c>
      <c r="AA41" s="4">
        <v>0.87449999999999994</v>
      </c>
      <c r="AB41" s="4"/>
      <c r="AC41" s="5">
        <v>12920</v>
      </c>
      <c r="AD41" s="5">
        <v>0</v>
      </c>
      <c r="AE41" s="5">
        <f>Query1[[#This Row],[Tuition Fee]]-Query1[[#This Row],[Scholarship Amount]]</f>
        <v>12920</v>
      </c>
      <c r="AF41" t="s">
        <v>31</v>
      </c>
    </row>
    <row r="42" spans="1:32" x14ac:dyDescent="0.35">
      <c r="A42" t="s">
        <v>182</v>
      </c>
      <c r="B42" t="s">
        <v>792</v>
      </c>
      <c r="C42" t="s">
        <v>1131</v>
      </c>
      <c r="D42" t="str">
        <f>LEFT(Query1[[#This Row],[First Name]],1) &amp; "." &amp; Query1[[#This Row],[Last Name]] &amp; "@university.edu"</f>
        <v>G.Halse@university.edu</v>
      </c>
      <c r="E42" t="s">
        <v>32</v>
      </c>
      <c r="F42" s="1">
        <v>36206</v>
      </c>
      <c r="G42" s="2">
        <f ca="1">DATEDIF(Query1[[#This Row],[Date of Birth]],TODAY(),"Y")</f>
        <v>26</v>
      </c>
      <c r="H42" t="s">
        <v>85</v>
      </c>
      <c r="I42">
        <v>2020</v>
      </c>
      <c r="J42" t="s">
        <v>34</v>
      </c>
      <c r="K42" t="s">
        <v>35</v>
      </c>
      <c r="N42" t="s">
        <v>183</v>
      </c>
      <c r="O42" t="s">
        <v>37</v>
      </c>
      <c r="P42">
        <v>3</v>
      </c>
      <c r="Q42" t="s">
        <v>82</v>
      </c>
      <c r="R42" t="s">
        <v>83</v>
      </c>
      <c r="S42" t="s">
        <v>40</v>
      </c>
      <c r="T42" t="s">
        <v>41</v>
      </c>
      <c r="U42">
        <v>94</v>
      </c>
      <c r="V42">
        <v>92</v>
      </c>
      <c r="W42">
        <v>89</v>
      </c>
      <c r="X42" s="2">
        <f>AVERAGE(Query1[[#This Row],[Assignment 1 Score]],Query1[[#This Row],[Assignment 2 Score]],Query1[[#This Row],[Midterm Exam Score]])</f>
        <v>91.666666666666671</v>
      </c>
      <c r="Y42" t="str" cm="1">
        <f t="array" ref="Y4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A+</v>
      </c>
      <c r="Z42" s="3">
        <f>Query1[[#This Row],[Final Score]]*5/100</f>
        <v>4.5833333333333339</v>
      </c>
      <c r="AA42" s="4">
        <v>0.9375</v>
      </c>
      <c r="AB42" s="4"/>
      <c r="AC42" s="5">
        <v>12443</v>
      </c>
      <c r="AD42" s="5">
        <v>1000</v>
      </c>
      <c r="AE42" s="5">
        <f>Query1[[#This Row],[Tuition Fee]]-Query1[[#This Row],[Scholarship Amount]]</f>
        <v>11443</v>
      </c>
      <c r="AF42" t="s">
        <v>31</v>
      </c>
    </row>
    <row r="43" spans="1:32" x14ac:dyDescent="0.35">
      <c r="A43" t="s">
        <v>184</v>
      </c>
      <c r="B43" t="s">
        <v>793</v>
      </c>
      <c r="C43" t="s">
        <v>1132</v>
      </c>
      <c r="D43" t="str">
        <f>LEFT(Query1[[#This Row],[First Name]],1) &amp; "." &amp; Query1[[#This Row],[Last Name]] &amp; "@university.edu"</f>
        <v>A.Stobbs@university.edu</v>
      </c>
      <c r="E43" t="s">
        <v>43</v>
      </c>
      <c r="F43" s="1">
        <v>36216</v>
      </c>
      <c r="G43" s="2">
        <f ca="1">DATEDIF(Query1[[#This Row],[Date of Birth]],TODAY(),"Y")</f>
        <v>26</v>
      </c>
      <c r="H43" t="s">
        <v>92</v>
      </c>
      <c r="I43">
        <v>2021</v>
      </c>
      <c r="J43" t="s">
        <v>45</v>
      </c>
      <c r="K43" t="s">
        <v>46</v>
      </c>
      <c r="N43" t="s">
        <v>185</v>
      </c>
      <c r="O43" t="s">
        <v>48</v>
      </c>
      <c r="P43">
        <v>3</v>
      </c>
      <c r="Q43" t="s">
        <v>89</v>
      </c>
      <c r="R43" t="s">
        <v>90</v>
      </c>
      <c r="S43" t="s">
        <v>29</v>
      </c>
      <c r="T43" t="s">
        <v>51</v>
      </c>
      <c r="U43">
        <v>73</v>
      </c>
      <c r="V43">
        <v>77</v>
      </c>
      <c r="W43">
        <v>68</v>
      </c>
      <c r="X43" s="2">
        <f>AVERAGE(Query1[[#This Row],[Assignment 1 Score]],Query1[[#This Row],[Assignment 2 Score]],Query1[[#This Row],[Midterm Exam Score]])</f>
        <v>72.666666666666671</v>
      </c>
      <c r="Y43" t="str" cm="1">
        <f t="array" ref="Y4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43" s="3">
        <f>Query1[[#This Row],[Final Score]]*5/100</f>
        <v>3.6333333333333337</v>
      </c>
      <c r="AA43" s="4">
        <v>0.88924999999999998</v>
      </c>
      <c r="AB43" s="4"/>
      <c r="AC43" s="5">
        <v>13466</v>
      </c>
      <c r="AD43" s="5">
        <v>5000</v>
      </c>
      <c r="AE43" s="5">
        <f>Query1[[#This Row],[Tuition Fee]]-Query1[[#This Row],[Scholarship Amount]]</f>
        <v>8466</v>
      </c>
      <c r="AF43" t="s">
        <v>60</v>
      </c>
    </row>
    <row r="44" spans="1:32" x14ac:dyDescent="0.35">
      <c r="A44" t="s">
        <v>186</v>
      </c>
      <c r="B44" t="s">
        <v>794</v>
      </c>
      <c r="C44" t="s">
        <v>1133</v>
      </c>
      <c r="D44" t="str">
        <f>LEFT(Query1[[#This Row],[First Name]],1) &amp; "." &amp; Query1[[#This Row],[Last Name]] &amp; "@university.edu"</f>
        <v>J.Ibert@university.edu</v>
      </c>
      <c r="E44" t="s">
        <v>32</v>
      </c>
      <c r="F44" s="1">
        <v>36226</v>
      </c>
      <c r="G44" s="2">
        <f ca="1">DATEDIF(Query1[[#This Row],[Date of Birth]],TODAY(),"Y")</f>
        <v>26</v>
      </c>
      <c r="H44" t="s">
        <v>97</v>
      </c>
      <c r="I44">
        <v>2022</v>
      </c>
      <c r="J44" t="s">
        <v>54</v>
      </c>
      <c r="K44" t="s">
        <v>55</v>
      </c>
      <c r="N44" t="s">
        <v>187</v>
      </c>
      <c r="O44" t="s">
        <v>57</v>
      </c>
      <c r="P44">
        <v>3</v>
      </c>
      <c r="Q44" t="s">
        <v>38</v>
      </c>
      <c r="R44" t="s">
        <v>39</v>
      </c>
      <c r="S44" t="s">
        <v>40</v>
      </c>
      <c r="T44" t="s">
        <v>30</v>
      </c>
      <c r="U44">
        <v>87</v>
      </c>
      <c r="V44">
        <v>89</v>
      </c>
      <c r="W44">
        <v>98</v>
      </c>
      <c r="X44" s="2">
        <f>AVERAGE(Query1[[#This Row],[Assignment 1 Score]],Query1[[#This Row],[Assignment 2 Score]],Query1[[#This Row],[Midterm Exam Score]])</f>
        <v>91.333333333333329</v>
      </c>
      <c r="Y44" t="str" cm="1">
        <f t="array" ref="Y4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A+</v>
      </c>
      <c r="Z44" s="3">
        <f>Query1[[#This Row],[Final Score]]*5/100</f>
        <v>4.5666666666666664</v>
      </c>
      <c r="AA44" s="4">
        <v>0.9375</v>
      </c>
      <c r="AB44" s="4"/>
      <c r="AC44" s="5">
        <v>11489</v>
      </c>
      <c r="AD44" s="5">
        <v>1000</v>
      </c>
      <c r="AE44" s="5">
        <f>Query1[[#This Row],[Tuition Fee]]-Query1[[#This Row],[Scholarship Amount]]</f>
        <v>10489</v>
      </c>
      <c r="AF44" t="s">
        <v>31</v>
      </c>
    </row>
    <row r="45" spans="1:32" x14ac:dyDescent="0.35">
      <c r="A45" t="s">
        <v>188</v>
      </c>
      <c r="B45" t="s">
        <v>795</v>
      </c>
      <c r="C45" t="s">
        <v>1134</v>
      </c>
      <c r="D45" t="str">
        <f>LEFT(Query1[[#This Row],[First Name]],1) &amp; "." &amp; Query1[[#This Row],[Last Name]] &amp; "@university.edu"</f>
        <v>H.Brocklesby@university.edu</v>
      </c>
      <c r="E45" t="s">
        <v>43</v>
      </c>
      <c r="F45" s="1">
        <v>36236</v>
      </c>
      <c r="G45" s="2">
        <f ca="1">DATEDIF(Query1[[#This Row],[Date of Birth]],TODAY(),"Y")</f>
        <v>26</v>
      </c>
      <c r="H45" t="s">
        <v>102</v>
      </c>
      <c r="I45">
        <v>2023</v>
      </c>
      <c r="J45" t="s">
        <v>63</v>
      </c>
      <c r="K45" t="s">
        <v>120</v>
      </c>
      <c r="N45" t="s">
        <v>189</v>
      </c>
      <c r="O45" t="s">
        <v>122</v>
      </c>
      <c r="P45">
        <v>5</v>
      </c>
      <c r="Q45" t="s">
        <v>49</v>
      </c>
      <c r="R45" t="s">
        <v>50</v>
      </c>
      <c r="S45" t="s">
        <v>29</v>
      </c>
      <c r="T45" t="s">
        <v>69</v>
      </c>
      <c r="U45">
        <v>76</v>
      </c>
      <c r="V45">
        <v>74</v>
      </c>
      <c r="W45">
        <v>77</v>
      </c>
      <c r="X45" s="2">
        <f>AVERAGE(Query1[[#This Row],[Assignment 1 Score]],Query1[[#This Row],[Assignment 2 Score]],Query1[[#This Row],[Midterm Exam Score]])</f>
        <v>75.666666666666671</v>
      </c>
      <c r="Y45" t="str" cm="1">
        <f t="array" ref="Y4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45" s="3">
        <f>Query1[[#This Row],[Final Score]]*5/100</f>
        <v>3.7833333333333337</v>
      </c>
      <c r="AA45" s="4">
        <v>0.8929999999999999</v>
      </c>
      <c r="AB45" s="4"/>
      <c r="AC45" s="5">
        <v>15012</v>
      </c>
      <c r="AD45" s="5">
        <v>0</v>
      </c>
      <c r="AE45" s="5">
        <f>Query1[[#This Row],[Tuition Fee]]-Query1[[#This Row],[Scholarship Amount]]</f>
        <v>15012</v>
      </c>
      <c r="AF45" t="s">
        <v>31</v>
      </c>
    </row>
    <row r="46" spans="1:32" x14ac:dyDescent="0.35">
      <c r="A46" t="s">
        <v>190</v>
      </c>
      <c r="B46" t="s">
        <v>796</v>
      </c>
      <c r="C46" t="s">
        <v>1135</v>
      </c>
      <c r="D46" t="str">
        <f>LEFT(Query1[[#This Row],[First Name]],1) &amp; "." &amp; Query1[[#This Row],[Last Name]] &amp; "@university.edu"</f>
        <v>M.Shovelbottom@university.edu</v>
      </c>
      <c r="E46" t="s">
        <v>32</v>
      </c>
      <c r="F46" s="1">
        <v>36246</v>
      </c>
      <c r="G46" s="2">
        <f ca="1">DATEDIF(Query1[[#This Row],[Date of Birth]],TODAY(),"Y")</f>
        <v>26</v>
      </c>
      <c r="H46" t="s">
        <v>105</v>
      </c>
      <c r="I46">
        <v>2019</v>
      </c>
      <c r="J46" t="s">
        <v>72</v>
      </c>
      <c r="K46" t="s">
        <v>73</v>
      </c>
      <c r="N46" t="s">
        <v>191</v>
      </c>
      <c r="O46" t="s">
        <v>75</v>
      </c>
      <c r="P46">
        <v>4</v>
      </c>
      <c r="Q46" t="s">
        <v>58</v>
      </c>
      <c r="R46" t="s">
        <v>59</v>
      </c>
      <c r="S46" t="s">
        <v>40</v>
      </c>
      <c r="T46" t="s">
        <v>78</v>
      </c>
      <c r="U46">
        <v>90</v>
      </c>
      <c r="V46">
        <v>94</v>
      </c>
      <c r="W46">
        <v>91</v>
      </c>
      <c r="X46" s="2">
        <f>AVERAGE(Query1[[#This Row],[Assignment 1 Score]],Query1[[#This Row],[Assignment 2 Score]],Query1[[#This Row],[Midterm Exam Score]])</f>
        <v>91.666666666666671</v>
      </c>
      <c r="Y46" t="str" cm="1">
        <f t="array" ref="Y4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A+</v>
      </c>
      <c r="Z46" s="3">
        <f>Query1[[#This Row],[Final Score]]*5/100</f>
        <v>4.5833333333333339</v>
      </c>
      <c r="AA46" s="4">
        <v>0.93225000000000002</v>
      </c>
      <c r="AB46" s="4"/>
      <c r="AC46" s="5">
        <v>12535</v>
      </c>
      <c r="AD46" s="5">
        <v>2000</v>
      </c>
      <c r="AE46" s="5">
        <f>Query1[[#This Row],[Tuition Fee]]-Query1[[#This Row],[Scholarship Amount]]</f>
        <v>10535</v>
      </c>
      <c r="AF46" t="s">
        <v>60</v>
      </c>
    </row>
    <row r="47" spans="1:32" x14ac:dyDescent="0.35">
      <c r="A47" t="s">
        <v>192</v>
      </c>
      <c r="B47" t="s">
        <v>797</v>
      </c>
      <c r="C47" t="s">
        <v>1136</v>
      </c>
      <c r="D47" t="str">
        <f>LEFT(Query1[[#This Row],[First Name]],1) &amp; "." &amp; Query1[[#This Row],[Last Name]] &amp; "@university.edu"</f>
        <v>M.Gibard@university.edu</v>
      </c>
      <c r="E47" t="s">
        <v>43</v>
      </c>
      <c r="F47" s="1">
        <v>36256</v>
      </c>
      <c r="G47" s="2">
        <f ca="1">DATEDIF(Query1[[#This Row],[Date of Birth]],TODAY(),"Y")</f>
        <v>26</v>
      </c>
      <c r="H47" t="s">
        <v>108</v>
      </c>
      <c r="I47">
        <v>2020</v>
      </c>
      <c r="J47" t="s">
        <v>34</v>
      </c>
      <c r="K47" t="s">
        <v>35</v>
      </c>
      <c r="N47" t="s">
        <v>193</v>
      </c>
      <c r="O47" t="s">
        <v>37</v>
      </c>
      <c r="P47">
        <v>3</v>
      </c>
      <c r="Q47" t="s">
        <v>67</v>
      </c>
      <c r="R47" t="s">
        <v>68</v>
      </c>
      <c r="S47" t="s">
        <v>29</v>
      </c>
      <c r="T47" t="s">
        <v>41</v>
      </c>
      <c r="U47">
        <v>69</v>
      </c>
      <c r="V47">
        <v>71</v>
      </c>
      <c r="W47">
        <v>70</v>
      </c>
      <c r="X47" s="2">
        <f>AVERAGE(Query1[[#This Row],[Assignment 1 Score]],Query1[[#This Row],[Assignment 2 Score]],Query1[[#This Row],[Midterm Exam Score]])</f>
        <v>70</v>
      </c>
      <c r="Y47" t="str" cm="1">
        <f t="array" ref="Y4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47" s="3">
        <f>Query1[[#This Row],[Final Score]]*5/100</f>
        <v>3.5</v>
      </c>
      <c r="AA47" s="4">
        <v>0.88100000000000001</v>
      </c>
      <c r="AB47" s="4"/>
      <c r="AC47" s="5">
        <v>12058</v>
      </c>
      <c r="AD47" s="5">
        <v>1000</v>
      </c>
      <c r="AE47" s="5">
        <f>Query1[[#This Row],[Tuition Fee]]-Query1[[#This Row],[Scholarship Amount]]</f>
        <v>11058</v>
      </c>
      <c r="AF47" t="s">
        <v>31</v>
      </c>
    </row>
    <row r="48" spans="1:32" x14ac:dyDescent="0.35">
      <c r="A48" t="s">
        <v>194</v>
      </c>
      <c r="B48" t="s">
        <v>798</v>
      </c>
      <c r="C48" t="s">
        <v>1137</v>
      </c>
      <c r="D48" t="str">
        <f>LEFT(Query1[[#This Row],[First Name]],1) &amp; "." &amp; Query1[[#This Row],[Last Name]] &amp; "@university.edu"</f>
        <v>R.Klimontovich@university.edu</v>
      </c>
      <c r="E48" t="s">
        <v>32</v>
      </c>
      <c r="F48" s="1">
        <v>36266</v>
      </c>
      <c r="G48" s="2">
        <f ca="1">DATEDIF(Query1[[#This Row],[Date of Birth]],TODAY(),"Y")</f>
        <v>26</v>
      </c>
      <c r="H48" t="s">
        <v>113</v>
      </c>
      <c r="I48">
        <v>2021</v>
      </c>
      <c r="J48" t="s">
        <v>45</v>
      </c>
      <c r="K48" t="s">
        <v>86</v>
      </c>
      <c r="N48" t="s">
        <v>195</v>
      </c>
      <c r="O48" t="s">
        <v>88</v>
      </c>
      <c r="P48">
        <v>3</v>
      </c>
      <c r="Q48" t="s">
        <v>76</v>
      </c>
      <c r="R48" t="s">
        <v>77</v>
      </c>
      <c r="S48" t="s">
        <v>40</v>
      </c>
      <c r="T48" t="s">
        <v>51</v>
      </c>
      <c r="U48">
        <v>93</v>
      </c>
      <c r="V48">
        <v>91</v>
      </c>
      <c r="W48">
        <v>84</v>
      </c>
      <c r="X48" s="2">
        <f>AVERAGE(Query1[[#This Row],[Assignment 1 Score]],Query1[[#This Row],[Assignment 2 Score]],Query1[[#This Row],[Midterm Exam Score]])</f>
        <v>89.333333333333329</v>
      </c>
      <c r="Y48" t="str" cm="1">
        <f t="array" ref="Y4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48" s="3">
        <f>Query1[[#This Row],[Final Score]]*5/100</f>
        <v>4.4666666666666659</v>
      </c>
      <c r="AA48" s="4">
        <v>0.92399999999999993</v>
      </c>
      <c r="AB48" s="4"/>
      <c r="AC48" s="5">
        <v>13081</v>
      </c>
      <c r="AD48" s="5">
        <v>1000</v>
      </c>
      <c r="AE48" s="5">
        <f>Query1[[#This Row],[Tuition Fee]]-Query1[[#This Row],[Scholarship Amount]]</f>
        <v>12081</v>
      </c>
      <c r="AF48" t="s">
        <v>31</v>
      </c>
    </row>
    <row r="49" spans="1:32" x14ac:dyDescent="0.35">
      <c r="A49" t="s">
        <v>196</v>
      </c>
      <c r="B49" t="s">
        <v>799</v>
      </c>
      <c r="C49" t="s">
        <v>1138</v>
      </c>
      <c r="D49" t="str">
        <f>LEFT(Query1[[#This Row],[First Name]],1) &amp; "." &amp; Query1[[#This Row],[Last Name]] &amp; "@university.edu"</f>
        <v>M.Mennell@university.edu</v>
      </c>
      <c r="E49" t="s">
        <v>43</v>
      </c>
      <c r="F49" s="1">
        <v>36276</v>
      </c>
      <c r="G49" s="2">
        <f ca="1">DATEDIF(Query1[[#This Row],[Date of Birth]],TODAY(),"Y")</f>
        <v>26</v>
      </c>
      <c r="H49" t="s">
        <v>119</v>
      </c>
      <c r="I49">
        <v>2022</v>
      </c>
      <c r="J49" t="s">
        <v>54</v>
      </c>
      <c r="K49" t="s">
        <v>93</v>
      </c>
      <c r="N49" t="s">
        <v>197</v>
      </c>
      <c r="O49" t="s">
        <v>95</v>
      </c>
      <c r="P49">
        <v>3</v>
      </c>
      <c r="Q49" t="s">
        <v>82</v>
      </c>
      <c r="R49" t="s">
        <v>83</v>
      </c>
      <c r="S49" t="s">
        <v>29</v>
      </c>
      <c r="T49" t="s">
        <v>30</v>
      </c>
      <c r="U49">
        <v>72</v>
      </c>
      <c r="V49">
        <v>68</v>
      </c>
      <c r="W49">
        <v>63</v>
      </c>
      <c r="X49" s="2">
        <f>AVERAGE(Query1[[#This Row],[Assignment 1 Score]],Query1[[#This Row],[Assignment 2 Score]],Query1[[#This Row],[Midterm Exam Score]])</f>
        <v>67.666666666666671</v>
      </c>
      <c r="Y49" t="str" cm="1">
        <f t="array" ref="Y4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49" s="3">
        <f>Query1[[#This Row],[Final Score]]*5/100</f>
        <v>3.3833333333333337</v>
      </c>
      <c r="AA49" s="4">
        <v>0.87274999999999991</v>
      </c>
      <c r="AB49" s="4"/>
      <c r="AC49" s="5">
        <v>11104</v>
      </c>
      <c r="AD49" s="5">
        <v>0</v>
      </c>
      <c r="AE49" s="5">
        <f>Query1[[#This Row],[Tuition Fee]]-Query1[[#This Row],[Scholarship Amount]]</f>
        <v>11104</v>
      </c>
      <c r="AF49" t="s">
        <v>60</v>
      </c>
    </row>
    <row r="50" spans="1:32" x14ac:dyDescent="0.35">
      <c r="A50" t="s">
        <v>198</v>
      </c>
      <c r="B50" t="s">
        <v>800</v>
      </c>
      <c r="C50" t="s">
        <v>1139</v>
      </c>
      <c r="D50" t="str">
        <f>LEFT(Query1[[#This Row],[First Name]],1) &amp; "." &amp; Query1[[#This Row],[Last Name]] &amp; "@university.edu"</f>
        <v>M.Brockie@university.edu</v>
      </c>
      <c r="E50" t="s">
        <v>32</v>
      </c>
      <c r="F50" s="1">
        <v>36286</v>
      </c>
      <c r="G50" s="2">
        <f ca="1">DATEDIF(Query1[[#This Row],[Date of Birth]],TODAY(),"Y")</f>
        <v>26</v>
      </c>
      <c r="H50" t="s">
        <v>124</v>
      </c>
      <c r="I50">
        <v>2023</v>
      </c>
      <c r="J50" t="s">
        <v>63</v>
      </c>
      <c r="K50" t="s">
        <v>64</v>
      </c>
      <c r="N50" t="s">
        <v>199</v>
      </c>
      <c r="O50" t="s">
        <v>66</v>
      </c>
      <c r="P50">
        <v>5</v>
      </c>
      <c r="Q50" t="s">
        <v>89</v>
      </c>
      <c r="R50" t="s">
        <v>90</v>
      </c>
      <c r="S50" t="s">
        <v>40</v>
      </c>
      <c r="T50" t="s">
        <v>69</v>
      </c>
      <c r="U50">
        <v>86</v>
      </c>
      <c r="V50">
        <v>88</v>
      </c>
      <c r="W50">
        <v>93</v>
      </c>
      <c r="X50" s="2">
        <f>AVERAGE(Query1[[#This Row],[Assignment 1 Score]],Query1[[#This Row],[Assignment 2 Score]],Query1[[#This Row],[Midterm Exam Score]])</f>
        <v>89</v>
      </c>
      <c r="Y50" t="str" cm="1">
        <f t="array" ref="Y5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50" s="3">
        <f>Query1[[#This Row],[Final Score]]*5/100</f>
        <v>4.45</v>
      </c>
      <c r="AA50" s="4">
        <v>0.92399999999999993</v>
      </c>
      <c r="AB50" s="4"/>
      <c r="AC50" s="5">
        <v>15127</v>
      </c>
      <c r="AD50" s="5">
        <v>5000</v>
      </c>
      <c r="AE50" s="5">
        <f>Query1[[#This Row],[Tuition Fee]]-Query1[[#This Row],[Scholarship Amount]]</f>
        <v>10127</v>
      </c>
      <c r="AF50" t="s">
        <v>31</v>
      </c>
    </row>
    <row r="51" spans="1:32" x14ac:dyDescent="0.35">
      <c r="A51" t="s">
        <v>200</v>
      </c>
      <c r="B51" t="s">
        <v>801</v>
      </c>
      <c r="C51" t="s">
        <v>1140</v>
      </c>
      <c r="D51" t="str">
        <f>LEFT(Query1[[#This Row],[First Name]],1) &amp; "." &amp; Query1[[#This Row],[Last Name]] &amp; "@university.edu"</f>
        <v>J.Petrushka@university.edu</v>
      </c>
      <c r="E51" t="s">
        <v>43</v>
      </c>
      <c r="F51" s="1">
        <v>36296</v>
      </c>
      <c r="G51" s="2">
        <f ca="1">DATEDIF(Query1[[#This Row],[Date of Birth]],TODAY(),"Y")</f>
        <v>26</v>
      </c>
      <c r="H51" t="s">
        <v>127</v>
      </c>
      <c r="I51">
        <v>2019</v>
      </c>
      <c r="J51" t="s">
        <v>72</v>
      </c>
      <c r="K51" t="s">
        <v>73</v>
      </c>
      <c r="N51" t="s">
        <v>201</v>
      </c>
      <c r="O51" t="s">
        <v>75</v>
      </c>
      <c r="P51">
        <v>4</v>
      </c>
      <c r="Q51" t="s">
        <v>38</v>
      </c>
      <c r="R51" t="s">
        <v>39</v>
      </c>
      <c r="S51" t="s">
        <v>29</v>
      </c>
      <c r="T51" t="s">
        <v>78</v>
      </c>
      <c r="U51">
        <v>50</v>
      </c>
      <c r="V51">
        <v>73</v>
      </c>
      <c r="W51">
        <v>72</v>
      </c>
      <c r="X51" s="2">
        <f>AVERAGE(Query1[[#This Row],[Assignment 1 Score]],Query1[[#This Row],[Assignment 2 Score]],Query1[[#This Row],[Midterm Exam Score]])</f>
        <v>65</v>
      </c>
      <c r="Y51" t="str" cm="1">
        <f t="array" ref="Y5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51" s="3">
        <f>Query1[[#This Row],[Final Score]]*5/100</f>
        <v>3.25</v>
      </c>
      <c r="AA51" s="4">
        <v>0.87574999999999992</v>
      </c>
      <c r="AB51" s="4"/>
      <c r="AC51" s="5">
        <v>12650</v>
      </c>
      <c r="AD51" s="5">
        <v>1000</v>
      </c>
      <c r="AE51" s="5">
        <f>Query1[[#This Row],[Tuition Fee]]-Query1[[#This Row],[Scholarship Amount]]</f>
        <v>11650</v>
      </c>
      <c r="AF51" t="s">
        <v>31</v>
      </c>
    </row>
    <row r="52" spans="1:32" x14ac:dyDescent="0.35">
      <c r="A52" t="s">
        <v>202</v>
      </c>
      <c r="B52" t="s">
        <v>802</v>
      </c>
      <c r="C52" t="s">
        <v>1141</v>
      </c>
      <c r="D52" t="str">
        <f>LEFT(Query1[[#This Row],[First Name]],1) &amp; "." &amp; Query1[[#This Row],[Last Name]] &amp; "@university.edu"</f>
        <v>C.Le Hucquet@university.edu</v>
      </c>
      <c r="E52" t="s">
        <v>32</v>
      </c>
      <c r="F52" s="1">
        <v>36306</v>
      </c>
      <c r="G52" s="2">
        <f ca="1">DATEDIF(Query1[[#This Row],[Date of Birth]],TODAY(),"Y")</f>
        <v>26</v>
      </c>
      <c r="H52" t="s">
        <v>130</v>
      </c>
      <c r="I52">
        <v>2020</v>
      </c>
      <c r="J52" t="s">
        <v>34</v>
      </c>
      <c r="K52" t="s">
        <v>35</v>
      </c>
      <c r="N52" t="s">
        <v>203</v>
      </c>
      <c r="O52" t="s">
        <v>37</v>
      </c>
      <c r="P52">
        <v>3</v>
      </c>
      <c r="Q52" t="s">
        <v>49</v>
      </c>
      <c r="R52" t="s">
        <v>50</v>
      </c>
      <c r="S52" t="s">
        <v>40</v>
      </c>
      <c r="T52" t="s">
        <v>41</v>
      </c>
      <c r="U52">
        <v>60</v>
      </c>
      <c r="V52">
        <v>85</v>
      </c>
      <c r="W52">
        <v>86</v>
      </c>
      <c r="X52" s="2">
        <f>AVERAGE(Query1[[#This Row],[Assignment 1 Score]],Query1[[#This Row],[Assignment 2 Score]],Query1[[#This Row],[Midterm Exam Score]])</f>
        <v>77</v>
      </c>
      <c r="Y52" t="str" cm="1">
        <f t="array" ref="Y5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52" s="3">
        <f>Query1[[#This Row],[Final Score]]*5/100</f>
        <v>3.85</v>
      </c>
      <c r="AA52" s="4">
        <v>0.91574999999999995</v>
      </c>
      <c r="AB52" s="4"/>
      <c r="AC52" s="5">
        <v>12173</v>
      </c>
      <c r="AD52" s="5">
        <v>2000</v>
      </c>
      <c r="AE52" s="5">
        <f>Query1[[#This Row],[Tuition Fee]]-Query1[[#This Row],[Scholarship Amount]]</f>
        <v>10173</v>
      </c>
      <c r="AF52" t="s">
        <v>60</v>
      </c>
    </row>
    <row r="53" spans="1:32" x14ac:dyDescent="0.35">
      <c r="A53" t="s">
        <v>204</v>
      </c>
      <c r="B53" t="s">
        <v>803</v>
      </c>
      <c r="C53" t="s">
        <v>1142</v>
      </c>
      <c r="D53" t="str">
        <f>LEFT(Query1[[#This Row],[First Name]],1) &amp; "." &amp; Query1[[#This Row],[Last Name]] &amp; "@university.edu"</f>
        <v>T.Danilevich@university.edu</v>
      </c>
      <c r="E53" t="s">
        <v>43</v>
      </c>
      <c r="F53" s="1">
        <v>36316</v>
      </c>
      <c r="G53" s="2">
        <f ca="1">DATEDIF(Query1[[#This Row],[Date of Birth]],TODAY(),"Y")</f>
        <v>26</v>
      </c>
      <c r="H53" t="s">
        <v>33</v>
      </c>
      <c r="I53">
        <v>2021</v>
      </c>
      <c r="J53" t="s">
        <v>45</v>
      </c>
      <c r="K53" t="s">
        <v>109</v>
      </c>
      <c r="N53" t="s">
        <v>205</v>
      </c>
      <c r="O53" t="s">
        <v>111</v>
      </c>
      <c r="P53">
        <v>3</v>
      </c>
      <c r="Q53" t="s">
        <v>58</v>
      </c>
      <c r="R53" t="s">
        <v>59</v>
      </c>
      <c r="S53" t="s">
        <v>29</v>
      </c>
      <c r="T53" t="s">
        <v>51</v>
      </c>
      <c r="U53">
        <v>41</v>
      </c>
      <c r="V53">
        <v>70</v>
      </c>
      <c r="W53">
        <v>65</v>
      </c>
      <c r="X53" s="2">
        <f>AVERAGE(Query1[[#This Row],[Assignment 1 Score]],Query1[[#This Row],[Assignment 2 Score]],Query1[[#This Row],[Midterm Exam Score]])</f>
        <v>58.666666666666664</v>
      </c>
      <c r="Y53" t="str" cm="1">
        <f t="array" ref="Y5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53" s="3">
        <f>Query1[[#This Row],[Final Score]]*5/100</f>
        <v>2.9333333333333331</v>
      </c>
      <c r="AA53" s="4">
        <v>0.86749999999999994</v>
      </c>
      <c r="AB53" s="4"/>
      <c r="AC53" s="5">
        <v>13196</v>
      </c>
      <c r="AD53" s="5">
        <v>0</v>
      </c>
      <c r="AE53" s="5">
        <f>Query1[[#This Row],[Tuition Fee]]-Query1[[#This Row],[Scholarship Amount]]</f>
        <v>13196</v>
      </c>
      <c r="AF53" t="s">
        <v>31</v>
      </c>
    </row>
    <row r="54" spans="1:32" x14ac:dyDescent="0.35">
      <c r="A54" t="s">
        <v>206</v>
      </c>
      <c r="B54" t="s">
        <v>804</v>
      </c>
      <c r="C54" t="s">
        <v>1143</v>
      </c>
      <c r="D54" t="str">
        <f>LEFT(Query1[[#This Row],[First Name]],1) &amp; "." &amp; Query1[[#This Row],[Last Name]] &amp; "@university.edu"</f>
        <v>S.Hawe@university.edu</v>
      </c>
      <c r="E54" t="s">
        <v>32</v>
      </c>
      <c r="F54" s="1">
        <v>36326</v>
      </c>
      <c r="G54" s="2">
        <f ca="1">DATEDIF(Query1[[#This Row],[Date of Birth]],TODAY(),"Y")</f>
        <v>26</v>
      </c>
      <c r="H54" t="s">
        <v>44</v>
      </c>
      <c r="I54">
        <v>2022</v>
      </c>
      <c r="J54" t="s">
        <v>54</v>
      </c>
      <c r="K54" t="s">
        <v>114</v>
      </c>
      <c r="N54" t="s">
        <v>207</v>
      </c>
      <c r="O54" t="s">
        <v>116</v>
      </c>
      <c r="P54">
        <v>3</v>
      </c>
      <c r="Q54" t="s">
        <v>67</v>
      </c>
      <c r="R54" t="s">
        <v>68</v>
      </c>
      <c r="S54" t="s">
        <v>40</v>
      </c>
      <c r="T54" t="s">
        <v>30</v>
      </c>
      <c r="U54">
        <v>38</v>
      </c>
      <c r="V54">
        <v>90</v>
      </c>
      <c r="W54">
        <v>79</v>
      </c>
      <c r="X54" s="2">
        <f>AVERAGE(Query1[[#This Row],[Assignment 1 Score]],Query1[[#This Row],[Assignment 2 Score]],Query1[[#This Row],[Midterm Exam Score]])</f>
        <v>69</v>
      </c>
      <c r="Y54" t="str" cm="1">
        <f t="array" ref="Y5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54" s="3">
        <f>Query1[[#This Row],[Final Score]]*5/100</f>
        <v>3.45</v>
      </c>
      <c r="AA54" s="4">
        <v>0.90674999999999994</v>
      </c>
      <c r="AB54" s="4"/>
      <c r="AC54" s="5">
        <v>11219</v>
      </c>
      <c r="AD54" s="5">
        <v>1000</v>
      </c>
      <c r="AE54" s="5">
        <f>Query1[[#This Row],[Tuition Fee]]-Query1[[#This Row],[Scholarship Amount]]</f>
        <v>10219</v>
      </c>
      <c r="AF54" t="s">
        <v>31</v>
      </c>
    </row>
    <row r="55" spans="1:32" x14ac:dyDescent="0.35">
      <c r="A55" t="s">
        <v>208</v>
      </c>
      <c r="B55" t="s">
        <v>805</v>
      </c>
      <c r="C55" t="s">
        <v>1144</v>
      </c>
      <c r="D55" t="str">
        <f>LEFT(Query1[[#This Row],[First Name]],1) &amp; "." &amp; Query1[[#This Row],[Last Name]] &amp; "@university.edu"</f>
        <v>A.Nitto@university.edu</v>
      </c>
      <c r="E55" t="s">
        <v>43</v>
      </c>
      <c r="F55" s="1">
        <v>36336</v>
      </c>
      <c r="G55" s="2">
        <f ca="1">DATEDIF(Query1[[#This Row],[Date of Birth]],TODAY(),"Y")</f>
        <v>26</v>
      </c>
      <c r="H55" t="s">
        <v>53</v>
      </c>
      <c r="I55">
        <v>2023</v>
      </c>
      <c r="J55" t="s">
        <v>63</v>
      </c>
      <c r="K55" t="s">
        <v>98</v>
      </c>
      <c r="N55" t="s">
        <v>209</v>
      </c>
      <c r="O55" t="s">
        <v>100</v>
      </c>
      <c r="P55">
        <v>5</v>
      </c>
      <c r="Q55" t="s">
        <v>76</v>
      </c>
      <c r="R55" t="s">
        <v>77</v>
      </c>
      <c r="S55" t="s">
        <v>29</v>
      </c>
      <c r="T55" t="s">
        <v>69</v>
      </c>
      <c r="U55">
        <v>59</v>
      </c>
      <c r="V55">
        <v>67</v>
      </c>
      <c r="W55">
        <v>74</v>
      </c>
      <c r="X55" s="2">
        <f>AVERAGE(Query1[[#This Row],[Assignment 1 Score]],Query1[[#This Row],[Assignment 2 Score]],Query1[[#This Row],[Midterm Exam Score]])</f>
        <v>66.666666666666671</v>
      </c>
      <c r="Y55" t="str" cm="1">
        <f t="array" ref="Y5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55" s="3">
        <f>Query1[[#This Row],[Final Score]]*5/100</f>
        <v>3.3333333333333339</v>
      </c>
      <c r="AA55" s="4">
        <v>0.87124999999999997</v>
      </c>
      <c r="AB55" s="4"/>
      <c r="AC55" s="5">
        <v>15242</v>
      </c>
      <c r="AD55" s="5">
        <v>2000</v>
      </c>
      <c r="AE55" s="5">
        <f>Query1[[#This Row],[Tuition Fee]]-Query1[[#This Row],[Scholarship Amount]]</f>
        <v>13242</v>
      </c>
      <c r="AF55" t="s">
        <v>60</v>
      </c>
    </row>
    <row r="56" spans="1:32" x14ac:dyDescent="0.35">
      <c r="A56" t="s">
        <v>210</v>
      </c>
      <c r="B56" t="s">
        <v>806</v>
      </c>
      <c r="C56" t="s">
        <v>1145</v>
      </c>
      <c r="D56" t="str">
        <f>LEFT(Query1[[#This Row],[First Name]],1) &amp; "." &amp; Query1[[#This Row],[Last Name]] &amp; "@university.edu"</f>
        <v>K.Mealham@university.edu</v>
      </c>
      <c r="E56" t="s">
        <v>32</v>
      </c>
      <c r="F56" s="1">
        <v>36346</v>
      </c>
      <c r="G56" s="2">
        <f ca="1">DATEDIF(Query1[[#This Row],[Date of Birth]],TODAY(),"Y")</f>
        <v>26</v>
      </c>
      <c r="H56" t="s">
        <v>62</v>
      </c>
      <c r="I56">
        <v>2019</v>
      </c>
      <c r="J56" t="s">
        <v>72</v>
      </c>
      <c r="K56" t="s">
        <v>73</v>
      </c>
      <c r="N56" t="s">
        <v>211</v>
      </c>
      <c r="O56" t="s">
        <v>75</v>
      </c>
      <c r="P56">
        <v>4</v>
      </c>
      <c r="Q56" t="s">
        <v>82</v>
      </c>
      <c r="R56" t="s">
        <v>83</v>
      </c>
      <c r="S56" t="s">
        <v>40</v>
      </c>
      <c r="T56" t="s">
        <v>78</v>
      </c>
      <c r="U56">
        <v>40</v>
      </c>
      <c r="V56">
        <v>87</v>
      </c>
      <c r="W56">
        <v>88</v>
      </c>
      <c r="X56" s="2">
        <f>AVERAGE(Query1[[#This Row],[Assignment 1 Score]],Query1[[#This Row],[Assignment 2 Score]],Query1[[#This Row],[Midterm Exam Score]])</f>
        <v>71.666666666666671</v>
      </c>
      <c r="Y56" t="str" cm="1">
        <f t="array" ref="Y5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56" s="3">
        <f>Query1[[#This Row],[Final Score]]*5/100</f>
        <v>3.5833333333333339</v>
      </c>
      <c r="AA56" s="4">
        <v>0.91049999999999986</v>
      </c>
      <c r="AB56" s="4"/>
      <c r="AC56" s="5">
        <v>12765</v>
      </c>
      <c r="AD56" s="5">
        <v>1000</v>
      </c>
      <c r="AE56" s="5">
        <f>Query1[[#This Row],[Tuition Fee]]-Query1[[#This Row],[Scholarship Amount]]</f>
        <v>11765</v>
      </c>
      <c r="AF56" t="s">
        <v>31</v>
      </c>
    </row>
    <row r="57" spans="1:32" x14ac:dyDescent="0.35">
      <c r="A57" t="s">
        <v>212</v>
      </c>
      <c r="B57" t="s">
        <v>807</v>
      </c>
      <c r="C57" t="s">
        <v>1146</v>
      </c>
      <c r="D57" t="str">
        <f>LEFT(Query1[[#This Row],[First Name]],1) &amp; "." &amp; Query1[[#This Row],[Last Name]] &amp; "@university.edu"</f>
        <v>J.Beeby@university.edu</v>
      </c>
      <c r="E57" t="s">
        <v>43</v>
      </c>
      <c r="F57" s="1">
        <v>36356</v>
      </c>
      <c r="G57" s="2">
        <f ca="1">DATEDIF(Query1[[#This Row],[Date of Birth]],TODAY(),"Y")</f>
        <v>26</v>
      </c>
      <c r="H57" t="s">
        <v>71</v>
      </c>
      <c r="I57">
        <v>2020</v>
      </c>
      <c r="J57" t="s">
        <v>34</v>
      </c>
      <c r="K57" t="s">
        <v>35</v>
      </c>
      <c r="N57" t="s">
        <v>213</v>
      </c>
      <c r="O57" t="s">
        <v>37</v>
      </c>
      <c r="P57">
        <v>3</v>
      </c>
      <c r="Q57" t="s">
        <v>89</v>
      </c>
      <c r="R57" t="s">
        <v>90</v>
      </c>
      <c r="S57" t="s">
        <v>29</v>
      </c>
      <c r="T57" t="s">
        <v>41</v>
      </c>
      <c r="U57">
        <v>34</v>
      </c>
      <c r="V57">
        <v>64</v>
      </c>
      <c r="W57">
        <v>67</v>
      </c>
      <c r="X57" s="2">
        <f>AVERAGE(Query1[[#This Row],[Assignment 1 Score]],Query1[[#This Row],[Assignment 2 Score]],Query1[[#This Row],[Midterm Exam Score]])</f>
        <v>55</v>
      </c>
      <c r="Y57" t="str" cm="1">
        <f t="array" ref="Y5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57" s="3">
        <f>Query1[[#This Row],[Final Score]]*5/100</f>
        <v>2.75</v>
      </c>
      <c r="AA57" s="4">
        <v>0.85924999999999996</v>
      </c>
      <c r="AB57" s="4"/>
      <c r="AC57" s="5">
        <v>12288</v>
      </c>
      <c r="AD57" s="5">
        <v>0</v>
      </c>
      <c r="AE57" s="5">
        <f>Query1[[#This Row],[Tuition Fee]]-Query1[[#This Row],[Scholarship Amount]]</f>
        <v>12288</v>
      </c>
      <c r="AF57" t="s">
        <v>31</v>
      </c>
    </row>
    <row r="58" spans="1:32" x14ac:dyDescent="0.35">
      <c r="A58" t="s">
        <v>214</v>
      </c>
      <c r="B58" t="s">
        <v>808</v>
      </c>
      <c r="C58" t="s">
        <v>1147</v>
      </c>
      <c r="D58" t="str">
        <f>LEFT(Query1[[#This Row],[First Name]],1) &amp; "." &amp; Query1[[#This Row],[Last Name]] &amp; "@university.edu"</f>
        <v>G.Nice@university.edu</v>
      </c>
      <c r="E58" t="s">
        <v>32</v>
      </c>
      <c r="F58" s="1">
        <v>36366</v>
      </c>
      <c r="G58" s="2">
        <f ca="1">DATEDIF(Query1[[#This Row],[Date of Birth]],TODAY(),"Y")</f>
        <v>26</v>
      </c>
      <c r="H58" t="s">
        <v>80</v>
      </c>
      <c r="I58">
        <v>2021</v>
      </c>
      <c r="J58" t="s">
        <v>45</v>
      </c>
      <c r="K58" t="s">
        <v>131</v>
      </c>
      <c r="N58" t="s">
        <v>215</v>
      </c>
      <c r="O58" t="s">
        <v>133</v>
      </c>
      <c r="P58">
        <v>3</v>
      </c>
      <c r="Q58" t="s">
        <v>38</v>
      </c>
      <c r="R58" t="s">
        <v>39</v>
      </c>
      <c r="S58" t="s">
        <v>40</v>
      </c>
      <c r="T58" t="s">
        <v>51</v>
      </c>
      <c r="U58">
        <v>56</v>
      </c>
      <c r="V58">
        <v>84</v>
      </c>
      <c r="W58">
        <v>81</v>
      </c>
      <c r="X58" s="2">
        <f>AVERAGE(Query1[[#This Row],[Assignment 1 Score]],Query1[[#This Row],[Assignment 2 Score]],Query1[[#This Row],[Midterm Exam Score]])</f>
        <v>73.666666666666671</v>
      </c>
      <c r="Y58" t="str" cm="1">
        <f t="array" ref="Y5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58" s="3">
        <f>Query1[[#This Row],[Final Score]]*5/100</f>
        <v>3.6833333333333336</v>
      </c>
      <c r="AA58" s="4">
        <v>0.90225</v>
      </c>
      <c r="AB58" s="4"/>
      <c r="AC58" s="5">
        <v>13311</v>
      </c>
      <c r="AD58" s="5">
        <v>2000</v>
      </c>
      <c r="AE58" s="5">
        <f>Query1[[#This Row],[Tuition Fee]]-Query1[[#This Row],[Scholarship Amount]]</f>
        <v>11311</v>
      </c>
      <c r="AF58" t="s">
        <v>60</v>
      </c>
    </row>
    <row r="59" spans="1:32" x14ac:dyDescent="0.35">
      <c r="A59" t="s">
        <v>216</v>
      </c>
      <c r="B59" t="s">
        <v>809</v>
      </c>
      <c r="C59" t="s">
        <v>1148</v>
      </c>
      <c r="D59" t="str">
        <f>LEFT(Query1[[#This Row],[First Name]],1) &amp; "." &amp; Query1[[#This Row],[Last Name]] &amp; "@university.edu"</f>
        <v>T.Yakobowitch@university.edu</v>
      </c>
      <c r="E59" t="s">
        <v>43</v>
      </c>
      <c r="F59" s="1">
        <v>36376</v>
      </c>
      <c r="G59" s="2">
        <f ca="1">DATEDIF(Query1[[#This Row],[Date of Birth]],TODAY(),"Y")</f>
        <v>26</v>
      </c>
      <c r="H59" t="s">
        <v>85</v>
      </c>
      <c r="I59">
        <v>2022</v>
      </c>
      <c r="J59" t="s">
        <v>54</v>
      </c>
      <c r="K59" t="s">
        <v>135</v>
      </c>
      <c r="N59" t="s">
        <v>217</v>
      </c>
      <c r="O59" t="s">
        <v>137</v>
      </c>
      <c r="P59">
        <v>3</v>
      </c>
      <c r="Q59" t="s">
        <v>49</v>
      </c>
      <c r="R59" t="s">
        <v>50</v>
      </c>
      <c r="S59" t="s">
        <v>29</v>
      </c>
      <c r="T59" t="s">
        <v>30</v>
      </c>
      <c r="U59">
        <v>32</v>
      </c>
      <c r="V59">
        <v>69</v>
      </c>
      <c r="W59">
        <v>60</v>
      </c>
      <c r="X59" s="2">
        <f>AVERAGE(Query1[[#This Row],[Assignment 1 Score]],Query1[[#This Row],[Assignment 2 Score]],Query1[[#This Row],[Midterm Exam Score]])</f>
        <v>53.666666666666664</v>
      </c>
      <c r="Y59" t="str" cm="1">
        <f t="array" ref="Y5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59" s="3">
        <f>Query1[[#This Row],[Final Score]]*5/100</f>
        <v>2.6833333333333331</v>
      </c>
      <c r="AA59" s="4">
        <v>0.85399999999999998</v>
      </c>
      <c r="AB59" s="4"/>
      <c r="AC59" s="5">
        <v>11334</v>
      </c>
      <c r="AD59" s="5">
        <v>1000</v>
      </c>
      <c r="AE59" s="5">
        <f>Query1[[#This Row],[Tuition Fee]]-Query1[[#This Row],[Scholarship Amount]]</f>
        <v>10334</v>
      </c>
      <c r="AF59" t="s">
        <v>31</v>
      </c>
    </row>
    <row r="60" spans="1:32" x14ac:dyDescent="0.35">
      <c r="A60" t="s">
        <v>218</v>
      </c>
      <c r="B60" t="s">
        <v>810</v>
      </c>
      <c r="C60" t="s">
        <v>1149</v>
      </c>
      <c r="D60" t="str">
        <f>LEFT(Query1[[#This Row],[First Name]],1) &amp; "." &amp; Query1[[#This Row],[Last Name]] &amp; "@university.edu"</f>
        <v>M.Fawbert@university.edu</v>
      </c>
      <c r="E60" t="s">
        <v>32</v>
      </c>
      <c r="F60" s="1">
        <v>36386</v>
      </c>
      <c r="G60" s="2">
        <f ca="1">DATEDIF(Query1[[#This Row],[Date of Birth]],TODAY(),"Y")</f>
        <v>26</v>
      </c>
      <c r="H60" t="s">
        <v>92</v>
      </c>
      <c r="I60">
        <v>2023</v>
      </c>
      <c r="J60" t="s">
        <v>63</v>
      </c>
      <c r="K60" t="s">
        <v>120</v>
      </c>
      <c r="N60" t="s">
        <v>219</v>
      </c>
      <c r="O60" t="s">
        <v>122</v>
      </c>
      <c r="P60">
        <v>5</v>
      </c>
      <c r="Q60" t="s">
        <v>58</v>
      </c>
      <c r="R60" t="s">
        <v>59</v>
      </c>
      <c r="S60" t="s">
        <v>40</v>
      </c>
      <c r="T60" t="s">
        <v>69</v>
      </c>
      <c r="U60">
        <v>44</v>
      </c>
      <c r="V60">
        <v>81</v>
      </c>
      <c r="W60">
        <v>90</v>
      </c>
      <c r="X60" s="2">
        <f>AVERAGE(Query1[[#This Row],[Assignment 1 Score]],Query1[[#This Row],[Assignment 2 Score]],Query1[[#This Row],[Midterm Exam Score]])</f>
        <v>71.666666666666671</v>
      </c>
      <c r="Y60" t="str" cm="1">
        <f t="array" ref="Y6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60" s="3">
        <f>Query1[[#This Row],[Final Score]]*5/100</f>
        <v>3.5833333333333339</v>
      </c>
      <c r="AA60" s="4">
        <v>0.90225</v>
      </c>
      <c r="AB60" s="4"/>
      <c r="AC60" s="5">
        <v>15357</v>
      </c>
      <c r="AD60" s="5">
        <v>1000</v>
      </c>
      <c r="AE60" s="5">
        <f>Query1[[#This Row],[Tuition Fee]]-Query1[[#This Row],[Scholarship Amount]]</f>
        <v>14357</v>
      </c>
      <c r="AF60" t="s">
        <v>31</v>
      </c>
    </row>
    <row r="61" spans="1:32" x14ac:dyDescent="0.35">
      <c r="A61" t="s">
        <v>220</v>
      </c>
      <c r="B61" t="s">
        <v>811</v>
      </c>
      <c r="C61" t="s">
        <v>1150</v>
      </c>
      <c r="D61" t="str">
        <f>LEFT(Query1[[#This Row],[First Name]],1) &amp; "." &amp; Query1[[#This Row],[Last Name]] &amp; "@university.edu"</f>
        <v>M.Cotherill@university.edu</v>
      </c>
      <c r="E61" t="s">
        <v>43</v>
      </c>
      <c r="F61" s="1">
        <v>36396</v>
      </c>
      <c r="G61" s="2">
        <f ca="1">DATEDIF(Query1[[#This Row],[Date of Birth]],TODAY(),"Y")</f>
        <v>26</v>
      </c>
      <c r="H61" t="s">
        <v>97</v>
      </c>
      <c r="I61">
        <v>2019</v>
      </c>
      <c r="J61" t="s">
        <v>72</v>
      </c>
      <c r="K61" t="s">
        <v>73</v>
      </c>
      <c r="N61" t="s">
        <v>221</v>
      </c>
      <c r="O61" t="s">
        <v>75</v>
      </c>
      <c r="P61">
        <v>4</v>
      </c>
      <c r="Q61" t="s">
        <v>67</v>
      </c>
      <c r="R61" t="s">
        <v>68</v>
      </c>
      <c r="S61" t="s">
        <v>29</v>
      </c>
      <c r="T61" t="s">
        <v>78</v>
      </c>
      <c r="U61">
        <v>70</v>
      </c>
      <c r="V61">
        <v>66</v>
      </c>
      <c r="W61">
        <v>69</v>
      </c>
      <c r="X61" s="2">
        <f>AVERAGE(Query1[[#This Row],[Assignment 1 Score]],Query1[[#This Row],[Assignment 2 Score]],Query1[[#This Row],[Midterm Exam Score]])</f>
        <v>68.333333333333329</v>
      </c>
      <c r="Y61" t="str" cm="1">
        <f t="array" ref="Y6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61" s="3">
        <f>Query1[[#This Row],[Final Score]]*5/100</f>
        <v>3.4166666666666661</v>
      </c>
      <c r="AA61" s="4">
        <v>0.85399999999999998</v>
      </c>
      <c r="AB61" s="4"/>
      <c r="AC61" s="5">
        <v>12880</v>
      </c>
      <c r="AD61" s="5">
        <v>0</v>
      </c>
      <c r="AE61" s="5">
        <f>Query1[[#This Row],[Tuition Fee]]-Query1[[#This Row],[Scholarship Amount]]</f>
        <v>12880</v>
      </c>
      <c r="AF61" t="s">
        <v>60</v>
      </c>
    </row>
    <row r="62" spans="1:32" x14ac:dyDescent="0.35">
      <c r="A62" t="s">
        <v>222</v>
      </c>
      <c r="B62" t="s">
        <v>812</v>
      </c>
      <c r="C62" t="s">
        <v>1151</v>
      </c>
      <c r="D62" t="str">
        <f>LEFT(Query1[[#This Row],[First Name]],1) &amp; "." &amp; Query1[[#This Row],[Last Name]] &amp; "@university.edu"</f>
        <v>S.Elms@university.edu</v>
      </c>
      <c r="E62" t="s">
        <v>32</v>
      </c>
      <c r="F62" s="1">
        <v>36406</v>
      </c>
      <c r="G62" s="2">
        <f ca="1">DATEDIF(Query1[[#This Row],[Date of Birth]],TODAY(),"Y")</f>
        <v>26</v>
      </c>
      <c r="H62" t="s">
        <v>102</v>
      </c>
      <c r="I62">
        <v>2020</v>
      </c>
      <c r="J62" t="s">
        <v>34</v>
      </c>
      <c r="K62" t="s">
        <v>35</v>
      </c>
      <c r="N62" t="s">
        <v>223</v>
      </c>
      <c r="O62" t="s">
        <v>37</v>
      </c>
      <c r="P62">
        <v>3</v>
      </c>
      <c r="Q62" t="s">
        <v>76</v>
      </c>
      <c r="R62" t="s">
        <v>77</v>
      </c>
      <c r="S62" t="s">
        <v>40</v>
      </c>
      <c r="T62" t="s">
        <v>41</v>
      </c>
      <c r="U62">
        <v>84</v>
      </c>
      <c r="V62">
        <v>86</v>
      </c>
      <c r="W62">
        <v>83</v>
      </c>
      <c r="X62" s="2">
        <f>AVERAGE(Query1[[#This Row],[Assignment 1 Score]],Query1[[#This Row],[Assignment 2 Score]],Query1[[#This Row],[Midterm Exam Score]])</f>
        <v>84.333333333333329</v>
      </c>
      <c r="Y62" t="str" cm="1">
        <f t="array" ref="Y6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62" s="3">
        <f>Query1[[#This Row],[Final Score]]*5/100</f>
        <v>4.2166666666666659</v>
      </c>
      <c r="AA62" s="4">
        <v>0.91699999999999993</v>
      </c>
      <c r="AB62" s="4"/>
      <c r="AC62" s="5">
        <v>12403</v>
      </c>
      <c r="AD62" s="5">
        <v>1000</v>
      </c>
      <c r="AE62" s="5">
        <f>Query1[[#This Row],[Tuition Fee]]-Query1[[#This Row],[Scholarship Amount]]</f>
        <v>11403</v>
      </c>
      <c r="AF62" t="s">
        <v>31</v>
      </c>
    </row>
    <row r="63" spans="1:32" x14ac:dyDescent="0.35">
      <c r="A63" t="s">
        <v>224</v>
      </c>
      <c r="B63" t="s">
        <v>813</v>
      </c>
      <c r="C63" t="s">
        <v>1152</v>
      </c>
      <c r="D63" t="str">
        <f>LEFT(Query1[[#This Row],[First Name]],1) &amp; "." &amp; Query1[[#This Row],[Last Name]] &amp; "@university.edu"</f>
        <v>T.Weetch@university.edu</v>
      </c>
      <c r="E63" t="s">
        <v>43</v>
      </c>
      <c r="F63" s="1">
        <v>36416</v>
      </c>
      <c r="G63" s="2">
        <f ca="1">DATEDIF(Query1[[#This Row],[Date of Birth]],TODAY(),"Y")</f>
        <v>26</v>
      </c>
      <c r="H63" t="s">
        <v>105</v>
      </c>
      <c r="I63">
        <v>2021</v>
      </c>
      <c r="J63" t="s">
        <v>45</v>
      </c>
      <c r="K63" t="s">
        <v>46</v>
      </c>
      <c r="N63" t="s">
        <v>225</v>
      </c>
      <c r="O63" t="s">
        <v>48</v>
      </c>
      <c r="P63">
        <v>3</v>
      </c>
      <c r="Q63" t="s">
        <v>82</v>
      </c>
      <c r="R63" t="s">
        <v>83</v>
      </c>
      <c r="S63" t="s">
        <v>29</v>
      </c>
      <c r="T63" t="s">
        <v>51</v>
      </c>
      <c r="U63">
        <v>63</v>
      </c>
      <c r="V63">
        <v>63</v>
      </c>
      <c r="W63">
        <v>62</v>
      </c>
      <c r="X63" s="2">
        <f>AVERAGE(Query1[[#This Row],[Assignment 1 Score]],Query1[[#This Row],[Assignment 2 Score]],Query1[[#This Row],[Midterm Exam Score]])</f>
        <v>62.666666666666664</v>
      </c>
      <c r="Y63" t="str" cm="1">
        <f t="array" ref="Y6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63" s="3">
        <f>Query1[[#This Row],[Final Score]]*5/100</f>
        <v>3.1333333333333333</v>
      </c>
      <c r="AA63" s="4">
        <v>0.86574999999999991</v>
      </c>
      <c r="AB63" s="4"/>
      <c r="AC63" s="5">
        <v>13426</v>
      </c>
      <c r="AD63" s="5">
        <v>1000</v>
      </c>
      <c r="AE63" s="5">
        <f>Query1[[#This Row],[Tuition Fee]]-Query1[[#This Row],[Scholarship Amount]]</f>
        <v>12426</v>
      </c>
      <c r="AF63" t="s">
        <v>31</v>
      </c>
    </row>
    <row r="64" spans="1:32" x14ac:dyDescent="0.35">
      <c r="A64" t="s">
        <v>226</v>
      </c>
      <c r="B64" t="s">
        <v>814</v>
      </c>
      <c r="C64" t="s">
        <v>1098</v>
      </c>
      <c r="D64" t="str">
        <f>LEFT(Query1[[#This Row],[First Name]],1) &amp; "." &amp; Query1[[#This Row],[Last Name]] &amp; "@university.edu"</f>
        <v>S.Screach@university.edu</v>
      </c>
      <c r="E64" t="s">
        <v>32</v>
      </c>
      <c r="F64" s="1">
        <v>36426</v>
      </c>
      <c r="G64" s="2">
        <f ca="1">DATEDIF(Query1[[#This Row],[Date of Birth]],TODAY(),"Y")</f>
        <v>26</v>
      </c>
      <c r="H64" t="s">
        <v>108</v>
      </c>
      <c r="I64">
        <v>2022</v>
      </c>
      <c r="J64" t="s">
        <v>54</v>
      </c>
      <c r="K64" t="s">
        <v>55</v>
      </c>
      <c r="N64" t="s">
        <v>227</v>
      </c>
      <c r="O64" t="s">
        <v>57</v>
      </c>
      <c r="P64">
        <v>3</v>
      </c>
      <c r="Q64" t="s">
        <v>89</v>
      </c>
      <c r="R64" t="s">
        <v>90</v>
      </c>
      <c r="S64" t="s">
        <v>40</v>
      </c>
      <c r="T64" t="s">
        <v>30</v>
      </c>
      <c r="U64">
        <v>77</v>
      </c>
      <c r="V64">
        <v>83</v>
      </c>
      <c r="W64">
        <v>76</v>
      </c>
      <c r="X64" s="2">
        <f>AVERAGE(Query1[[#This Row],[Assignment 1 Score]],Query1[[#This Row],[Assignment 2 Score]],Query1[[#This Row],[Midterm Exam Score]])</f>
        <v>78.666666666666671</v>
      </c>
      <c r="Y64" t="str" cm="1">
        <f t="array" ref="Y6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64" s="3">
        <f>Query1[[#This Row],[Final Score]]*5/100</f>
        <v>3.9333333333333336</v>
      </c>
      <c r="AA64" s="4">
        <v>0.90499999999999992</v>
      </c>
      <c r="AB64" s="4"/>
      <c r="AC64" s="5">
        <v>11449</v>
      </c>
      <c r="AD64" s="5">
        <v>5000</v>
      </c>
      <c r="AE64" s="5">
        <f>Query1[[#This Row],[Tuition Fee]]-Query1[[#This Row],[Scholarship Amount]]</f>
        <v>6449</v>
      </c>
      <c r="AF64" t="s">
        <v>60</v>
      </c>
    </row>
    <row r="65" spans="1:32" x14ac:dyDescent="0.35">
      <c r="A65" t="s">
        <v>228</v>
      </c>
      <c r="B65" t="s">
        <v>815</v>
      </c>
      <c r="C65" t="s">
        <v>1153</v>
      </c>
      <c r="D65" t="str">
        <f>LEFT(Query1[[#This Row],[First Name]],1) &amp; "." &amp; Query1[[#This Row],[Last Name]] &amp; "@university.edu"</f>
        <v>N.Eastope@university.edu</v>
      </c>
      <c r="E65" t="s">
        <v>43</v>
      </c>
      <c r="F65" s="1">
        <v>36436</v>
      </c>
      <c r="G65" s="2">
        <f ca="1">DATEDIF(Query1[[#This Row],[Date of Birth]],TODAY(),"Y")</f>
        <v>26</v>
      </c>
      <c r="H65" t="s">
        <v>113</v>
      </c>
      <c r="I65">
        <v>2023</v>
      </c>
      <c r="J65" t="s">
        <v>63</v>
      </c>
      <c r="K65" t="s">
        <v>64</v>
      </c>
      <c r="N65" t="s">
        <v>229</v>
      </c>
      <c r="O65" t="s">
        <v>66</v>
      </c>
      <c r="P65">
        <v>5</v>
      </c>
      <c r="Q65" t="s">
        <v>38</v>
      </c>
      <c r="R65" t="s">
        <v>39</v>
      </c>
      <c r="S65" t="s">
        <v>29</v>
      </c>
      <c r="T65" t="s">
        <v>69</v>
      </c>
      <c r="U65">
        <v>66</v>
      </c>
      <c r="V65">
        <v>60</v>
      </c>
      <c r="W65">
        <v>55</v>
      </c>
      <c r="X65" s="2">
        <f>AVERAGE(Query1[[#This Row],[Assignment 1 Score]],Query1[[#This Row],[Assignment 2 Score]],Query1[[#This Row],[Midterm Exam Score]])</f>
        <v>60.333333333333336</v>
      </c>
      <c r="Y65" t="str" cm="1">
        <f t="array" ref="Y6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65" s="3">
        <f>Query1[[#This Row],[Final Score]]*5/100</f>
        <v>3.0166666666666671</v>
      </c>
      <c r="AA65" s="4">
        <v>0.85749999999999993</v>
      </c>
      <c r="AB65" s="4"/>
      <c r="AC65" s="5">
        <v>15472</v>
      </c>
      <c r="AD65" s="5">
        <v>0</v>
      </c>
      <c r="AE65" s="5">
        <f>Query1[[#This Row],[Tuition Fee]]-Query1[[#This Row],[Scholarship Amount]]</f>
        <v>15472</v>
      </c>
      <c r="AF65" t="s">
        <v>31</v>
      </c>
    </row>
    <row r="66" spans="1:32" x14ac:dyDescent="0.35">
      <c r="A66" t="s">
        <v>230</v>
      </c>
      <c r="B66" t="s">
        <v>816</v>
      </c>
      <c r="C66" t="s">
        <v>1154</v>
      </c>
      <c r="D66" t="str">
        <f>LEFT(Query1[[#This Row],[First Name]],1) &amp; "." &amp; Query1[[#This Row],[Last Name]] &amp; "@university.edu"</f>
        <v>W.Hawsby@university.edu</v>
      </c>
      <c r="E66" t="s">
        <v>32</v>
      </c>
      <c r="F66" s="1">
        <v>36446</v>
      </c>
      <c r="G66" s="2">
        <f ca="1">DATEDIF(Query1[[#This Row],[Date of Birth]],TODAY(),"Y")</f>
        <v>26</v>
      </c>
      <c r="H66" t="s">
        <v>119</v>
      </c>
      <c r="I66">
        <v>2019</v>
      </c>
      <c r="J66" t="s">
        <v>72</v>
      </c>
      <c r="K66" t="s">
        <v>73</v>
      </c>
      <c r="N66" t="s">
        <v>231</v>
      </c>
      <c r="O66" t="s">
        <v>75</v>
      </c>
      <c r="P66">
        <v>4</v>
      </c>
      <c r="Q66" t="s">
        <v>49</v>
      </c>
      <c r="R66" t="s">
        <v>50</v>
      </c>
      <c r="S66" t="s">
        <v>40</v>
      </c>
      <c r="T66" t="s">
        <v>78</v>
      </c>
      <c r="U66">
        <v>80</v>
      </c>
      <c r="V66">
        <v>80</v>
      </c>
      <c r="W66">
        <v>85</v>
      </c>
      <c r="X66" s="2">
        <f>AVERAGE(Query1[[#This Row],[Assignment 1 Score]],Query1[[#This Row],[Assignment 2 Score]],Query1[[#This Row],[Midterm Exam Score]])</f>
        <v>81.666666666666671</v>
      </c>
      <c r="Y66" t="str" cm="1">
        <f t="array" ref="Y6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66" s="3">
        <f>Query1[[#This Row],[Final Score]]*5/100</f>
        <v>4.0833333333333339</v>
      </c>
      <c r="AA66" s="4">
        <v>0.90874999999999995</v>
      </c>
      <c r="AB66" s="4"/>
      <c r="AC66" s="5">
        <v>12995</v>
      </c>
      <c r="AD66" s="5">
        <v>1000</v>
      </c>
      <c r="AE66" s="5">
        <f>Query1[[#This Row],[Tuition Fee]]-Query1[[#This Row],[Scholarship Amount]]</f>
        <v>11995</v>
      </c>
      <c r="AF66" t="s">
        <v>31</v>
      </c>
    </row>
    <row r="67" spans="1:32" x14ac:dyDescent="0.35">
      <c r="A67" t="s">
        <v>232</v>
      </c>
      <c r="B67" t="s">
        <v>817</v>
      </c>
      <c r="C67" t="s">
        <v>1155</v>
      </c>
      <c r="D67" t="str">
        <f>LEFT(Query1[[#This Row],[First Name]],1) &amp; "." &amp; Query1[[#This Row],[Last Name]] &amp; "@university.edu"</f>
        <v>D.Peddersen@university.edu</v>
      </c>
      <c r="E67" t="s">
        <v>43</v>
      </c>
      <c r="F67" s="1">
        <v>36456</v>
      </c>
      <c r="G67" s="2">
        <f ca="1">DATEDIF(Query1[[#This Row],[Date of Birth]],TODAY(),"Y")</f>
        <v>26</v>
      </c>
      <c r="H67" t="s">
        <v>124</v>
      </c>
      <c r="I67">
        <v>2020</v>
      </c>
      <c r="J67" t="s">
        <v>34</v>
      </c>
      <c r="K67" t="s">
        <v>35</v>
      </c>
      <c r="N67" t="s">
        <v>233</v>
      </c>
      <c r="O67" t="s">
        <v>37</v>
      </c>
      <c r="P67">
        <v>3</v>
      </c>
      <c r="Q67" t="s">
        <v>58</v>
      </c>
      <c r="R67" t="s">
        <v>59</v>
      </c>
      <c r="S67" t="s">
        <v>29</v>
      </c>
      <c r="T67" t="s">
        <v>41</v>
      </c>
      <c r="U67">
        <v>59</v>
      </c>
      <c r="V67">
        <v>65</v>
      </c>
      <c r="W67">
        <v>64</v>
      </c>
      <c r="X67" s="2">
        <f>AVERAGE(Query1[[#This Row],[Assignment 1 Score]],Query1[[#This Row],[Assignment 2 Score]],Query1[[#This Row],[Midterm Exam Score]])</f>
        <v>62.666666666666664</v>
      </c>
      <c r="Y67" t="str" cm="1">
        <f t="array" ref="Y6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67" s="3">
        <f>Query1[[#This Row],[Final Score]]*5/100</f>
        <v>3.1333333333333333</v>
      </c>
      <c r="AA67" s="4">
        <v>0.86049999999999993</v>
      </c>
      <c r="AB67" s="4"/>
      <c r="AC67" s="5">
        <v>12018</v>
      </c>
      <c r="AD67" s="5">
        <v>2000</v>
      </c>
      <c r="AE67" s="5">
        <f>Query1[[#This Row],[Tuition Fee]]-Query1[[#This Row],[Scholarship Amount]]</f>
        <v>10018</v>
      </c>
      <c r="AF67" t="s">
        <v>60</v>
      </c>
    </row>
    <row r="68" spans="1:32" x14ac:dyDescent="0.35">
      <c r="A68" t="s">
        <v>234</v>
      </c>
      <c r="B68" t="s">
        <v>818</v>
      </c>
      <c r="C68" t="s">
        <v>1156</v>
      </c>
      <c r="D68" t="str">
        <f>LEFT(Query1[[#This Row],[First Name]],1) &amp; "." &amp; Query1[[#This Row],[Last Name]] &amp; "@university.edu"</f>
        <v>E.Hasser@university.edu</v>
      </c>
      <c r="E68" t="s">
        <v>32</v>
      </c>
      <c r="F68" s="1">
        <v>36466</v>
      </c>
      <c r="G68" s="2">
        <f ca="1">DATEDIF(Query1[[#This Row],[Date of Birth]],TODAY(),"Y")</f>
        <v>26</v>
      </c>
      <c r="H68" t="s">
        <v>127</v>
      </c>
      <c r="I68">
        <v>2021</v>
      </c>
      <c r="J68" t="s">
        <v>45</v>
      </c>
      <c r="K68" t="s">
        <v>86</v>
      </c>
      <c r="N68" t="s">
        <v>235</v>
      </c>
      <c r="O68" t="s">
        <v>88</v>
      </c>
      <c r="P68">
        <v>3</v>
      </c>
      <c r="Q68" t="s">
        <v>67</v>
      </c>
      <c r="R68" t="s">
        <v>68</v>
      </c>
      <c r="S68" t="s">
        <v>40</v>
      </c>
      <c r="T68" t="s">
        <v>51</v>
      </c>
      <c r="U68">
        <v>83</v>
      </c>
      <c r="V68">
        <v>77</v>
      </c>
      <c r="W68">
        <v>78</v>
      </c>
      <c r="X68" s="2">
        <f>AVERAGE(Query1[[#This Row],[Assignment 1 Score]],Query1[[#This Row],[Assignment 2 Score]],Query1[[#This Row],[Midterm Exam Score]])</f>
        <v>79.333333333333329</v>
      </c>
      <c r="Y68" t="str" cm="1">
        <f t="array" ref="Y6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68" s="3">
        <f>Query1[[#This Row],[Final Score]]*5/100</f>
        <v>3.9666666666666663</v>
      </c>
      <c r="AA68" s="4">
        <v>0.90049999999999997</v>
      </c>
      <c r="AB68" s="4"/>
      <c r="AC68" s="5">
        <v>13041</v>
      </c>
      <c r="AD68" s="5">
        <v>1000</v>
      </c>
      <c r="AE68" s="5">
        <f>Query1[[#This Row],[Tuition Fee]]-Query1[[#This Row],[Scholarship Amount]]</f>
        <v>12041</v>
      </c>
      <c r="AF68" t="s">
        <v>31</v>
      </c>
    </row>
    <row r="69" spans="1:32" x14ac:dyDescent="0.35">
      <c r="A69" t="s">
        <v>236</v>
      </c>
      <c r="B69" t="s">
        <v>819</v>
      </c>
      <c r="C69" t="s">
        <v>1157</v>
      </c>
      <c r="D69" t="str">
        <f>LEFT(Query1[[#This Row],[First Name]],1) &amp; "." &amp; Query1[[#This Row],[Last Name]] &amp; "@university.edu"</f>
        <v>B.Croley@university.edu</v>
      </c>
      <c r="E69" t="s">
        <v>43</v>
      </c>
      <c r="F69" s="1">
        <v>36476</v>
      </c>
      <c r="G69" s="2">
        <f ca="1">DATEDIF(Query1[[#This Row],[Date of Birth]],TODAY(),"Y")</f>
        <v>26</v>
      </c>
      <c r="H69" t="s">
        <v>130</v>
      </c>
      <c r="I69">
        <v>2022</v>
      </c>
      <c r="J69" t="s">
        <v>54</v>
      </c>
      <c r="K69" t="s">
        <v>93</v>
      </c>
      <c r="N69" t="s">
        <v>237</v>
      </c>
      <c r="O69" t="s">
        <v>95</v>
      </c>
      <c r="P69">
        <v>3</v>
      </c>
      <c r="Q69" t="s">
        <v>76</v>
      </c>
      <c r="R69" t="s">
        <v>77</v>
      </c>
      <c r="S69" t="s">
        <v>29</v>
      </c>
      <c r="T69" t="s">
        <v>30</v>
      </c>
      <c r="U69">
        <v>62</v>
      </c>
      <c r="V69">
        <v>62</v>
      </c>
      <c r="W69">
        <v>57</v>
      </c>
      <c r="X69" s="2">
        <f>AVERAGE(Query1[[#This Row],[Assignment 1 Score]],Query1[[#This Row],[Assignment 2 Score]],Query1[[#This Row],[Midterm Exam Score]])</f>
        <v>60.333333333333336</v>
      </c>
      <c r="Y69" t="str" cm="1">
        <f t="array" ref="Y6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69" s="3">
        <f>Query1[[#This Row],[Final Score]]*5/100</f>
        <v>3.0166666666666671</v>
      </c>
      <c r="AA69" s="4">
        <v>0.85224999999999995</v>
      </c>
      <c r="AB69" s="4"/>
      <c r="AC69" s="5">
        <v>11064</v>
      </c>
      <c r="AD69" s="5">
        <v>0</v>
      </c>
      <c r="AE69" s="5">
        <f>Query1[[#This Row],[Tuition Fee]]-Query1[[#This Row],[Scholarship Amount]]</f>
        <v>11064</v>
      </c>
      <c r="AF69" t="s">
        <v>31</v>
      </c>
    </row>
    <row r="70" spans="1:32" x14ac:dyDescent="0.35">
      <c r="A70" t="s">
        <v>238</v>
      </c>
      <c r="B70" t="s">
        <v>820</v>
      </c>
      <c r="C70" t="s">
        <v>1158</v>
      </c>
      <c r="D70" t="str">
        <f>LEFT(Query1[[#This Row],[First Name]],1) &amp; "." &amp; Query1[[#This Row],[Last Name]] &amp; "@university.edu"</f>
        <v>H.Brannon@university.edu</v>
      </c>
      <c r="E70" t="s">
        <v>32</v>
      </c>
      <c r="F70" s="1">
        <v>36486</v>
      </c>
      <c r="G70" s="2">
        <f ca="1">DATEDIF(Query1[[#This Row],[Date of Birth]],TODAY(),"Y")</f>
        <v>26</v>
      </c>
      <c r="H70" t="s">
        <v>33</v>
      </c>
      <c r="I70">
        <v>2023</v>
      </c>
      <c r="J70" t="s">
        <v>63</v>
      </c>
      <c r="K70" t="s">
        <v>98</v>
      </c>
      <c r="N70" t="s">
        <v>239</v>
      </c>
      <c r="O70" t="s">
        <v>100</v>
      </c>
      <c r="P70">
        <v>5</v>
      </c>
      <c r="Q70" t="s">
        <v>82</v>
      </c>
      <c r="R70" t="s">
        <v>83</v>
      </c>
      <c r="S70" t="s">
        <v>40</v>
      </c>
      <c r="T70" t="s">
        <v>69</v>
      </c>
      <c r="U70">
        <v>76</v>
      </c>
      <c r="V70">
        <v>82</v>
      </c>
      <c r="W70">
        <v>71</v>
      </c>
      <c r="X70" s="2">
        <f>AVERAGE(Query1[[#This Row],[Assignment 1 Score]],Query1[[#This Row],[Assignment 2 Score]],Query1[[#This Row],[Midterm Exam Score]])</f>
        <v>76.333333333333329</v>
      </c>
      <c r="Y70" t="str" cm="1">
        <f t="array" ref="Y7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70" s="3">
        <f>Query1[[#This Row],[Final Score]]*5/100</f>
        <v>3.8166666666666664</v>
      </c>
      <c r="AA70" s="4">
        <v>0.89149999999999996</v>
      </c>
      <c r="AB70" s="4"/>
      <c r="AC70" s="5">
        <v>15087</v>
      </c>
      <c r="AD70" s="5">
        <v>2000</v>
      </c>
      <c r="AE70" s="5">
        <f>Query1[[#This Row],[Tuition Fee]]-Query1[[#This Row],[Scholarship Amount]]</f>
        <v>13087</v>
      </c>
      <c r="AF70" t="s">
        <v>60</v>
      </c>
    </row>
    <row r="71" spans="1:32" x14ac:dyDescent="0.35">
      <c r="A71" t="s">
        <v>240</v>
      </c>
      <c r="B71" t="s">
        <v>821</v>
      </c>
      <c r="C71" t="s">
        <v>1159</v>
      </c>
      <c r="D71" t="str">
        <f>LEFT(Query1[[#This Row],[First Name]],1) &amp; "." &amp; Query1[[#This Row],[Last Name]] &amp; "@university.edu"</f>
        <v>N.Sames@university.edu</v>
      </c>
      <c r="E71" t="s">
        <v>43</v>
      </c>
      <c r="F71" s="1">
        <v>36496</v>
      </c>
      <c r="G71" s="2">
        <f ca="1">DATEDIF(Query1[[#This Row],[Date of Birth]],TODAY(),"Y")</f>
        <v>25</v>
      </c>
      <c r="H71" t="s">
        <v>44</v>
      </c>
      <c r="I71">
        <v>2019</v>
      </c>
      <c r="J71" t="s">
        <v>72</v>
      </c>
      <c r="K71" t="s">
        <v>73</v>
      </c>
      <c r="N71" t="s">
        <v>241</v>
      </c>
      <c r="O71" t="s">
        <v>75</v>
      </c>
      <c r="P71">
        <v>4</v>
      </c>
      <c r="Q71" t="s">
        <v>89</v>
      </c>
      <c r="R71" t="s">
        <v>90</v>
      </c>
      <c r="S71" t="s">
        <v>29</v>
      </c>
      <c r="T71" t="s">
        <v>78</v>
      </c>
      <c r="U71">
        <v>55</v>
      </c>
      <c r="V71">
        <v>59</v>
      </c>
      <c r="W71">
        <v>66</v>
      </c>
      <c r="X71" s="2">
        <f>AVERAGE(Query1[[#This Row],[Assignment 1 Score]],Query1[[#This Row],[Assignment 2 Score]],Query1[[#This Row],[Midterm Exam Score]])</f>
        <v>60</v>
      </c>
      <c r="Y71" t="str" cm="1">
        <f t="array" ref="Y7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71" s="3">
        <f>Query1[[#This Row],[Final Score]]*5/100</f>
        <v>3</v>
      </c>
      <c r="AA71" s="4">
        <v>0.85224999999999995</v>
      </c>
      <c r="AB71" s="4"/>
      <c r="AC71" s="5">
        <v>12610</v>
      </c>
      <c r="AD71" s="5">
        <v>5000</v>
      </c>
      <c r="AE71" s="5">
        <f>Query1[[#This Row],[Tuition Fee]]-Query1[[#This Row],[Scholarship Amount]]</f>
        <v>7610</v>
      </c>
      <c r="AF71" t="s">
        <v>31</v>
      </c>
    </row>
    <row r="72" spans="1:32" x14ac:dyDescent="0.35">
      <c r="A72" t="s">
        <v>242</v>
      </c>
      <c r="B72" t="s">
        <v>822</v>
      </c>
      <c r="C72" t="s">
        <v>1160</v>
      </c>
      <c r="D72" t="str">
        <f>LEFT(Query1[[#This Row],[First Name]],1) &amp; "." &amp; Query1[[#This Row],[Last Name]] &amp; "@university.edu"</f>
        <v>M.Cope@university.edu</v>
      </c>
      <c r="E72" t="s">
        <v>32</v>
      </c>
      <c r="F72" s="1">
        <v>36506</v>
      </c>
      <c r="G72" s="2">
        <f ca="1">DATEDIF(Query1[[#This Row],[Date of Birth]],TODAY(),"Y")</f>
        <v>25</v>
      </c>
      <c r="H72" t="s">
        <v>53</v>
      </c>
      <c r="I72">
        <v>2020</v>
      </c>
      <c r="J72" t="s">
        <v>34</v>
      </c>
      <c r="K72" t="s">
        <v>35</v>
      </c>
      <c r="N72" t="s">
        <v>243</v>
      </c>
      <c r="O72" t="s">
        <v>37</v>
      </c>
      <c r="P72">
        <v>3</v>
      </c>
      <c r="Q72" t="s">
        <v>38</v>
      </c>
      <c r="R72" t="s">
        <v>39</v>
      </c>
      <c r="S72" t="s">
        <v>40</v>
      </c>
      <c r="T72" t="s">
        <v>41</v>
      </c>
      <c r="U72">
        <v>79</v>
      </c>
      <c r="V72">
        <v>79</v>
      </c>
      <c r="W72">
        <v>80</v>
      </c>
      <c r="X72" s="2">
        <f>AVERAGE(Query1[[#This Row],[Assignment 1 Score]],Query1[[#This Row],[Assignment 2 Score]],Query1[[#This Row],[Midterm Exam Score]])</f>
        <v>79.333333333333329</v>
      </c>
      <c r="Y72" t="str" cm="1">
        <f t="array" ref="Y7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72" s="3">
        <f>Query1[[#This Row],[Final Score]]*5/100</f>
        <v>3.9666666666666663</v>
      </c>
      <c r="AA72" s="4">
        <v>0.89524999999999999</v>
      </c>
      <c r="AB72" s="4"/>
      <c r="AC72" s="5">
        <v>12133</v>
      </c>
      <c r="AD72" s="5">
        <v>1000</v>
      </c>
      <c r="AE72" s="5">
        <f>Query1[[#This Row],[Tuition Fee]]-Query1[[#This Row],[Scholarship Amount]]</f>
        <v>11133</v>
      </c>
      <c r="AF72" t="s">
        <v>31</v>
      </c>
    </row>
    <row r="73" spans="1:32" x14ac:dyDescent="0.35">
      <c r="A73" t="s">
        <v>244</v>
      </c>
      <c r="B73" t="s">
        <v>823</v>
      </c>
      <c r="C73" t="s">
        <v>1161</v>
      </c>
      <c r="D73" t="str">
        <f>LEFT(Query1[[#This Row],[First Name]],1) &amp; "." &amp; Query1[[#This Row],[Last Name]] &amp; "@university.edu"</f>
        <v>J.Keough@university.edu</v>
      </c>
      <c r="E73" t="s">
        <v>43</v>
      </c>
      <c r="F73" s="1">
        <v>36516</v>
      </c>
      <c r="G73" s="2">
        <f ca="1">DATEDIF(Query1[[#This Row],[Date of Birth]],TODAY(),"Y")</f>
        <v>25</v>
      </c>
      <c r="H73" t="s">
        <v>62</v>
      </c>
      <c r="I73">
        <v>2021</v>
      </c>
      <c r="J73" t="s">
        <v>45</v>
      </c>
      <c r="K73" t="s">
        <v>109</v>
      </c>
      <c r="N73" t="s">
        <v>245</v>
      </c>
      <c r="O73" t="s">
        <v>111</v>
      </c>
      <c r="P73">
        <v>3</v>
      </c>
      <c r="Q73" t="s">
        <v>49</v>
      </c>
      <c r="R73" t="s">
        <v>50</v>
      </c>
      <c r="S73" t="s">
        <v>29</v>
      </c>
      <c r="T73" t="s">
        <v>51</v>
      </c>
      <c r="U73">
        <v>93</v>
      </c>
      <c r="V73">
        <v>91</v>
      </c>
      <c r="W73">
        <v>94</v>
      </c>
      <c r="X73" s="2">
        <f>AVERAGE(Query1[[#This Row],[Assignment 1 Score]],Query1[[#This Row],[Assignment 2 Score]],Query1[[#This Row],[Midterm Exam Score]])</f>
        <v>92.666666666666671</v>
      </c>
      <c r="Y73" t="str" cm="1">
        <f t="array" ref="Y7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A+</v>
      </c>
      <c r="Z73" s="3">
        <f>Query1[[#This Row],[Final Score]]*5/100</f>
        <v>4.6333333333333337</v>
      </c>
      <c r="AA73" s="4">
        <v>0.93149999999999999</v>
      </c>
      <c r="AB73" s="4"/>
      <c r="AC73" s="5">
        <v>13156</v>
      </c>
      <c r="AD73" s="5">
        <v>0</v>
      </c>
      <c r="AE73" s="5">
        <f>Query1[[#This Row],[Tuition Fee]]-Query1[[#This Row],[Scholarship Amount]]</f>
        <v>13156</v>
      </c>
      <c r="AF73" t="s">
        <v>60</v>
      </c>
    </row>
    <row r="74" spans="1:32" x14ac:dyDescent="0.35">
      <c r="A74" t="s">
        <v>246</v>
      </c>
      <c r="B74" t="s">
        <v>824</v>
      </c>
      <c r="C74" t="s">
        <v>1162</v>
      </c>
      <c r="D74" t="str">
        <f>LEFT(Query1[[#This Row],[First Name]],1) &amp; "." &amp; Query1[[#This Row],[Last Name]] &amp; "@university.edu"</f>
        <v>F.Andrasch@university.edu</v>
      </c>
      <c r="E74" t="s">
        <v>32</v>
      </c>
      <c r="F74" s="1">
        <v>36526</v>
      </c>
      <c r="G74" s="2">
        <f ca="1">DATEDIF(Query1[[#This Row],[Date of Birth]],TODAY(),"Y")</f>
        <v>25</v>
      </c>
      <c r="H74" t="s">
        <v>71</v>
      </c>
      <c r="I74">
        <v>2022</v>
      </c>
      <c r="J74" t="s">
        <v>54</v>
      </c>
      <c r="K74" t="s">
        <v>114</v>
      </c>
      <c r="N74" t="s">
        <v>247</v>
      </c>
      <c r="O74" t="s">
        <v>116</v>
      </c>
      <c r="P74">
        <v>3</v>
      </c>
      <c r="Q74" t="s">
        <v>58</v>
      </c>
      <c r="R74" t="s">
        <v>59</v>
      </c>
      <c r="S74" t="s">
        <v>40</v>
      </c>
      <c r="T74" t="s">
        <v>30</v>
      </c>
      <c r="U74">
        <v>72</v>
      </c>
      <c r="V74">
        <v>50</v>
      </c>
      <c r="W74">
        <v>73</v>
      </c>
      <c r="X74" s="2">
        <f>AVERAGE(Query1[[#This Row],[Assignment 1 Score]],Query1[[#This Row],[Assignment 2 Score]],Query1[[#This Row],[Midterm Exam Score]])</f>
        <v>65</v>
      </c>
      <c r="Y74" t="str" cm="1">
        <f t="array" ref="Y7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74" s="3">
        <f>Query1[[#This Row],[Final Score]]*5/100</f>
        <v>3.25</v>
      </c>
      <c r="AA74" s="4">
        <v>0.88324999999999998</v>
      </c>
      <c r="AB74" s="4"/>
      <c r="AC74" s="5">
        <v>11179</v>
      </c>
      <c r="AD74" s="5">
        <v>1000</v>
      </c>
      <c r="AE74" s="5">
        <f>Query1[[#This Row],[Tuition Fee]]-Query1[[#This Row],[Scholarship Amount]]</f>
        <v>10179</v>
      </c>
      <c r="AF74" t="s">
        <v>31</v>
      </c>
    </row>
    <row r="75" spans="1:32" x14ac:dyDescent="0.35">
      <c r="A75" t="s">
        <v>248</v>
      </c>
      <c r="B75" t="s">
        <v>825</v>
      </c>
      <c r="C75" t="s">
        <v>1163</v>
      </c>
      <c r="D75" t="str">
        <f>LEFT(Query1[[#This Row],[First Name]],1) &amp; "." &amp; Query1[[#This Row],[Last Name]] &amp; "@university.edu"</f>
        <v>Z.Francesco@university.edu</v>
      </c>
      <c r="E75" t="s">
        <v>43</v>
      </c>
      <c r="F75" s="1">
        <v>36536</v>
      </c>
      <c r="G75" s="2">
        <f ca="1">DATEDIF(Query1[[#This Row],[Date of Birth]],TODAY(),"Y")</f>
        <v>25</v>
      </c>
      <c r="H75" t="s">
        <v>80</v>
      </c>
      <c r="I75">
        <v>2023</v>
      </c>
      <c r="J75" t="s">
        <v>63</v>
      </c>
      <c r="K75" t="s">
        <v>120</v>
      </c>
      <c r="N75" t="s">
        <v>249</v>
      </c>
      <c r="O75" t="s">
        <v>122</v>
      </c>
      <c r="P75">
        <v>5</v>
      </c>
      <c r="Q75" t="s">
        <v>67</v>
      </c>
      <c r="R75" t="s">
        <v>68</v>
      </c>
      <c r="S75" t="s">
        <v>29</v>
      </c>
      <c r="T75" t="s">
        <v>69</v>
      </c>
      <c r="U75">
        <v>96</v>
      </c>
      <c r="V75">
        <v>60</v>
      </c>
      <c r="W75">
        <v>87</v>
      </c>
      <c r="X75" s="2">
        <f>AVERAGE(Query1[[#This Row],[Assignment 1 Score]],Query1[[#This Row],[Assignment 2 Score]],Query1[[#This Row],[Midterm Exam Score]])</f>
        <v>81</v>
      </c>
      <c r="Y75" t="str" cm="1">
        <f t="array" ref="Y7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75" s="3">
        <f>Query1[[#This Row],[Final Score]]*5/100</f>
        <v>4.05</v>
      </c>
      <c r="AA75" s="4">
        <v>0.92625000000000002</v>
      </c>
      <c r="AB75" s="4"/>
      <c r="AC75" s="5">
        <v>15202</v>
      </c>
      <c r="AD75" s="5">
        <v>1000</v>
      </c>
      <c r="AE75" s="5">
        <f>Query1[[#This Row],[Tuition Fee]]-Query1[[#This Row],[Scholarship Amount]]</f>
        <v>14202</v>
      </c>
      <c r="AF75" t="s">
        <v>31</v>
      </c>
    </row>
    <row r="76" spans="1:32" x14ac:dyDescent="0.35">
      <c r="A76" t="s">
        <v>250</v>
      </c>
      <c r="B76" t="s">
        <v>826</v>
      </c>
      <c r="C76" t="s">
        <v>1164</v>
      </c>
      <c r="D76" t="str">
        <f>LEFT(Query1[[#This Row],[First Name]],1) &amp; "." &amp; Query1[[#This Row],[Last Name]] &amp; "@university.edu"</f>
        <v>H.Cawthron@university.edu</v>
      </c>
      <c r="E76" t="s">
        <v>32</v>
      </c>
      <c r="F76" s="1">
        <v>36546</v>
      </c>
      <c r="G76" s="2">
        <f ca="1">DATEDIF(Query1[[#This Row],[Date of Birth]],TODAY(),"Y")</f>
        <v>25</v>
      </c>
      <c r="H76" t="s">
        <v>85</v>
      </c>
      <c r="I76">
        <v>2019</v>
      </c>
      <c r="J76" t="s">
        <v>72</v>
      </c>
      <c r="K76" t="s">
        <v>73</v>
      </c>
      <c r="N76" t="s">
        <v>251</v>
      </c>
      <c r="O76" t="s">
        <v>75</v>
      </c>
      <c r="P76">
        <v>4</v>
      </c>
      <c r="Q76" t="s">
        <v>76</v>
      </c>
      <c r="R76" t="s">
        <v>77</v>
      </c>
      <c r="S76" t="s">
        <v>40</v>
      </c>
      <c r="T76" t="s">
        <v>78</v>
      </c>
      <c r="U76">
        <v>75</v>
      </c>
      <c r="V76">
        <v>41</v>
      </c>
      <c r="W76">
        <v>82</v>
      </c>
      <c r="X76" s="2">
        <f>AVERAGE(Query1[[#This Row],[Assignment 1 Score]],Query1[[#This Row],[Assignment 2 Score]],Query1[[#This Row],[Midterm Exam Score]])</f>
        <v>66</v>
      </c>
      <c r="Y76" t="str" cm="1">
        <f t="array" ref="Y7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76" s="3">
        <f>Query1[[#This Row],[Final Score]]*5/100</f>
        <v>3.3</v>
      </c>
      <c r="AA76" s="4">
        <v>0.88700000000000001</v>
      </c>
      <c r="AB76" s="4"/>
      <c r="AC76" s="5">
        <v>12725</v>
      </c>
      <c r="AD76" s="5">
        <v>2000</v>
      </c>
      <c r="AE76" s="5">
        <f>Query1[[#This Row],[Tuition Fee]]-Query1[[#This Row],[Scholarship Amount]]</f>
        <v>10725</v>
      </c>
      <c r="AF76" t="s">
        <v>60</v>
      </c>
    </row>
    <row r="77" spans="1:32" x14ac:dyDescent="0.35">
      <c r="A77" t="s">
        <v>252</v>
      </c>
      <c r="B77" t="s">
        <v>827</v>
      </c>
      <c r="C77" t="s">
        <v>1165</v>
      </c>
      <c r="D77" t="str">
        <f>LEFT(Query1[[#This Row],[First Name]],1) &amp; "." &amp; Query1[[#This Row],[Last Name]] &amp; "@university.edu"</f>
        <v>A.Erlam@university.edu</v>
      </c>
      <c r="E77" t="s">
        <v>43</v>
      </c>
      <c r="F77" s="1">
        <v>36556</v>
      </c>
      <c r="G77" s="2">
        <f ca="1">DATEDIF(Query1[[#This Row],[Date of Birth]],TODAY(),"Y")</f>
        <v>25</v>
      </c>
      <c r="H77" t="s">
        <v>92</v>
      </c>
      <c r="I77">
        <v>2020</v>
      </c>
      <c r="J77" t="s">
        <v>34</v>
      </c>
      <c r="K77" t="s">
        <v>35</v>
      </c>
      <c r="N77" t="s">
        <v>253</v>
      </c>
      <c r="O77" t="s">
        <v>37</v>
      </c>
      <c r="P77">
        <v>3</v>
      </c>
      <c r="Q77" t="s">
        <v>82</v>
      </c>
      <c r="R77" t="s">
        <v>83</v>
      </c>
      <c r="S77" t="s">
        <v>29</v>
      </c>
      <c r="T77" t="s">
        <v>41</v>
      </c>
      <c r="U77">
        <v>89</v>
      </c>
      <c r="V77">
        <v>38</v>
      </c>
      <c r="W77">
        <v>96</v>
      </c>
      <c r="X77" s="2">
        <f>AVERAGE(Query1[[#This Row],[Assignment 1 Score]],Query1[[#This Row],[Assignment 2 Score]],Query1[[#This Row],[Midterm Exam Score]])</f>
        <v>74.333333333333329</v>
      </c>
      <c r="Y77" t="str" cm="1">
        <f t="array" ref="Y7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77" s="3">
        <f>Query1[[#This Row],[Final Score]]*5/100</f>
        <v>3.7166666666666663</v>
      </c>
      <c r="AA77" s="4">
        <v>0.92625000000000002</v>
      </c>
      <c r="AB77" s="4"/>
      <c r="AC77" s="5">
        <v>12248</v>
      </c>
      <c r="AD77" s="5">
        <v>0</v>
      </c>
      <c r="AE77" s="5">
        <f>Query1[[#This Row],[Tuition Fee]]-Query1[[#This Row],[Scholarship Amount]]</f>
        <v>12248</v>
      </c>
      <c r="AF77" t="s">
        <v>31</v>
      </c>
    </row>
    <row r="78" spans="1:32" x14ac:dyDescent="0.35">
      <c r="A78" t="s">
        <v>254</v>
      </c>
      <c r="B78" t="s">
        <v>828</v>
      </c>
      <c r="C78" t="s">
        <v>1166</v>
      </c>
      <c r="D78" t="str">
        <f>LEFT(Query1[[#This Row],[First Name]],1) &amp; "." &amp; Query1[[#This Row],[Last Name]] &amp; "@university.edu"</f>
        <v>H.Lonsdale@university.edu</v>
      </c>
      <c r="E78" t="s">
        <v>32</v>
      </c>
      <c r="F78" s="1">
        <v>36566</v>
      </c>
      <c r="G78" s="2">
        <f ca="1">DATEDIF(Query1[[#This Row],[Date of Birth]],TODAY(),"Y")</f>
        <v>25</v>
      </c>
      <c r="H78" t="s">
        <v>97</v>
      </c>
      <c r="I78">
        <v>2021</v>
      </c>
      <c r="J78" t="s">
        <v>45</v>
      </c>
      <c r="K78" t="s">
        <v>131</v>
      </c>
      <c r="N78" t="s">
        <v>255</v>
      </c>
      <c r="O78" t="s">
        <v>133</v>
      </c>
      <c r="P78">
        <v>3</v>
      </c>
      <c r="Q78" t="s">
        <v>89</v>
      </c>
      <c r="R78" t="s">
        <v>90</v>
      </c>
      <c r="S78" t="s">
        <v>40</v>
      </c>
      <c r="T78" t="s">
        <v>51</v>
      </c>
      <c r="U78">
        <v>78</v>
      </c>
      <c r="V78">
        <v>59</v>
      </c>
      <c r="W78">
        <v>75</v>
      </c>
      <c r="X78" s="2">
        <f>AVERAGE(Query1[[#This Row],[Assignment 1 Score]],Query1[[#This Row],[Assignment 2 Score]],Query1[[#This Row],[Midterm Exam Score]])</f>
        <v>70.666666666666671</v>
      </c>
      <c r="Y78" t="str" cm="1">
        <f t="array" ref="Y7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78" s="3">
        <f>Query1[[#This Row],[Final Score]]*5/100</f>
        <v>3.5333333333333337</v>
      </c>
      <c r="AA78" s="4">
        <v>0.88174999999999992</v>
      </c>
      <c r="AB78" s="4"/>
      <c r="AC78" s="5">
        <v>13271</v>
      </c>
      <c r="AD78" s="5">
        <v>5000</v>
      </c>
      <c r="AE78" s="5">
        <f>Query1[[#This Row],[Tuition Fee]]-Query1[[#This Row],[Scholarship Amount]]</f>
        <v>8271</v>
      </c>
      <c r="AF78" t="s">
        <v>31</v>
      </c>
    </row>
    <row r="79" spans="1:32" x14ac:dyDescent="0.35">
      <c r="A79" t="s">
        <v>256</v>
      </c>
      <c r="B79" t="s">
        <v>829</v>
      </c>
      <c r="C79" t="s">
        <v>1167</v>
      </c>
      <c r="D79" t="str">
        <f>LEFT(Query1[[#This Row],[First Name]],1) &amp; "." &amp; Query1[[#This Row],[Last Name]] &amp; "@university.edu"</f>
        <v>A.Fronek@university.edu</v>
      </c>
      <c r="E79" t="s">
        <v>43</v>
      </c>
      <c r="F79" s="1">
        <v>36576</v>
      </c>
      <c r="G79" s="2">
        <f ca="1">DATEDIF(Query1[[#This Row],[Date of Birth]],TODAY(),"Y")</f>
        <v>25</v>
      </c>
      <c r="H79" t="s">
        <v>102</v>
      </c>
      <c r="I79">
        <v>2022</v>
      </c>
      <c r="J79" t="s">
        <v>54</v>
      </c>
      <c r="K79" t="s">
        <v>135</v>
      </c>
      <c r="N79" t="s">
        <v>257</v>
      </c>
      <c r="O79" t="s">
        <v>137</v>
      </c>
      <c r="P79">
        <v>3</v>
      </c>
      <c r="Q79" t="s">
        <v>38</v>
      </c>
      <c r="R79" t="s">
        <v>39</v>
      </c>
      <c r="S79" t="s">
        <v>29</v>
      </c>
      <c r="T79" t="s">
        <v>30</v>
      </c>
      <c r="U79">
        <v>92</v>
      </c>
      <c r="V79">
        <v>40</v>
      </c>
      <c r="W79">
        <v>89</v>
      </c>
      <c r="X79" s="2">
        <f>AVERAGE(Query1[[#This Row],[Assignment 1 Score]],Query1[[#This Row],[Assignment 2 Score]],Query1[[#This Row],[Midterm Exam Score]])</f>
        <v>73.666666666666671</v>
      </c>
      <c r="Y79" t="str" cm="1">
        <f t="array" ref="Y7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79" s="3">
        <f>Query1[[#This Row],[Final Score]]*5/100</f>
        <v>3.6833333333333336</v>
      </c>
      <c r="AA79" s="4">
        <v>0.91799999999999993</v>
      </c>
      <c r="AB79" s="4"/>
      <c r="AC79" s="5">
        <v>11294</v>
      </c>
      <c r="AD79" s="5">
        <v>2000</v>
      </c>
      <c r="AE79" s="5">
        <f>Query1[[#This Row],[Tuition Fee]]-Query1[[#This Row],[Scholarship Amount]]</f>
        <v>9294</v>
      </c>
      <c r="AF79" t="s">
        <v>60</v>
      </c>
    </row>
    <row r="80" spans="1:32" x14ac:dyDescent="0.35">
      <c r="A80" t="s">
        <v>258</v>
      </c>
      <c r="B80" t="s">
        <v>830</v>
      </c>
      <c r="C80" t="s">
        <v>1168</v>
      </c>
      <c r="D80" t="str">
        <f>LEFT(Query1[[#This Row],[First Name]],1) &amp; "." &amp; Query1[[#This Row],[Last Name]] &amp; "@university.edu"</f>
        <v>M.Castellet@university.edu</v>
      </c>
      <c r="E80" t="s">
        <v>32</v>
      </c>
      <c r="F80" s="1">
        <v>36586</v>
      </c>
      <c r="G80" s="2">
        <f ca="1">DATEDIF(Query1[[#This Row],[Date of Birth]],TODAY(),"Y")</f>
        <v>25</v>
      </c>
      <c r="H80" t="s">
        <v>105</v>
      </c>
      <c r="I80">
        <v>2023</v>
      </c>
      <c r="J80" t="s">
        <v>63</v>
      </c>
      <c r="K80" t="s">
        <v>64</v>
      </c>
      <c r="N80" t="s">
        <v>259</v>
      </c>
      <c r="O80" t="s">
        <v>66</v>
      </c>
      <c r="P80">
        <v>5</v>
      </c>
      <c r="Q80" t="s">
        <v>49</v>
      </c>
      <c r="R80" t="s">
        <v>50</v>
      </c>
      <c r="S80" t="s">
        <v>40</v>
      </c>
      <c r="T80" t="s">
        <v>69</v>
      </c>
      <c r="U80">
        <v>71</v>
      </c>
      <c r="V80">
        <v>34</v>
      </c>
      <c r="W80">
        <v>68</v>
      </c>
      <c r="X80" s="2">
        <f>AVERAGE(Query1[[#This Row],[Assignment 1 Score]],Query1[[#This Row],[Assignment 2 Score]],Query1[[#This Row],[Midterm Exam Score]])</f>
        <v>57.666666666666664</v>
      </c>
      <c r="Y80" t="str" cm="1">
        <f t="array" ref="Y8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80" s="3">
        <f>Query1[[#This Row],[Final Score]]*5/100</f>
        <v>2.8833333333333333</v>
      </c>
      <c r="AA80" s="4">
        <v>0.86975000000000002</v>
      </c>
      <c r="AB80" s="4"/>
      <c r="AC80" s="5">
        <v>15317</v>
      </c>
      <c r="AD80" s="5">
        <v>1000</v>
      </c>
      <c r="AE80" s="5">
        <f>Query1[[#This Row],[Tuition Fee]]-Query1[[#This Row],[Scholarship Amount]]</f>
        <v>14317</v>
      </c>
      <c r="AF80" t="s">
        <v>31</v>
      </c>
    </row>
    <row r="81" spans="1:32" x14ac:dyDescent="0.35">
      <c r="A81" t="s">
        <v>260</v>
      </c>
      <c r="B81" t="s">
        <v>831</v>
      </c>
      <c r="C81" t="s">
        <v>1169</v>
      </c>
      <c r="D81" t="str">
        <f>LEFT(Query1[[#This Row],[First Name]],1) &amp; "." &amp; Query1[[#This Row],[Last Name]] &amp; "@university.edu"</f>
        <v>M.Giovannacci@university.edu</v>
      </c>
      <c r="E81" t="s">
        <v>43</v>
      </c>
      <c r="F81" s="1">
        <v>36596</v>
      </c>
      <c r="G81" s="2">
        <f ca="1">DATEDIF(Query1[[#This Row],[Date of Birth]],TODAY(),"Y")</f>
        <v>25</v>
      </c>
      <c r="H81" t="s">
        <v>108</v>
      </c>
      <c r="I81">
        <v>2019</v>
      </c>
      <c r="J81" t="s">
        <v>72</v>
      </c>
      <c r="K81" t="s">
        <v>73</v>
      </c>
      <c r="N81" t="s">
        <v>261</v>
      </c>
      <c r="O81" t="s">
        <v>75</v>
      </c>
      <c r="P81">
        <v>4</v>
      </c>
      <c r="Q81" t="s">
        <v>58</v>
      </c>
      <c r="R81" t="s">
        <v>59</v>
      </c>
      <c r="S81" t="s">
        <v>29</v>
      </c>
      <c r="T81" t="s">
        <v>78</v>
      </c>
      <c r="U81">
        <v>85</v>
      </c>
      <c r="V81">
        <v>56</v>
      </c>
      <c r="W81">
        <v>82</v>
      </c>
      <c r="X81" s="2">
        <f>AVERAGE(Query1[[#This Row],[Assignment 1 Score]],Query1[[#This Row],[Assignment 2 Score]],Query1[[#This Row],[Midterm Exam Score]])</f>
        <v>74.333333333333329</v>
      </c>
      <c r="Y81" t="str" cm="1">
        <f t="array" ref="Y8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81" s="3">
        <f>Query1[[#This Row],[Final Score]]*5/100</f>
        <v>3.7166666666666663</v>
      </c>
      <c r="AA81" s="4">
        <v>0.90599999999999992</v>
      </c>
      <c r="AB81" s="4"/>
      <c r="AC81" s="5">
        <v>12840</v>
      </c>
      <c r="AD81" s="5">
        <v>0</v>
      </c>
      <c r="AE81" s="5">
        <f>Query1[[#This Row],[Tuition Fee]]-Query1[[#This Row],[Scholarship Amount]]</f>
        <v>12840</v>
      </c>
      <c r="AF81" t="s">
        <v>31</v>
      </c>
    </row>
    <row r="82" spans="1:32" x14ac:dyDescent="0.35">
      <c r="A82" t="s">
        <v>262</v>
      </c>
      <c r="B82" t="s">
        <v>832</v>
      </c>
      <c r="C82" t="s">
        <v>1170</v>
      </c>
      <c r="D82" t="str">
        <f>LEFT(Query1[[#This Row],[First Name]],1) &amp; "." &amp; Query1[[#This Row],[Last Name]] &amp; "@university.edu"</f>
        <v>L.Meekins@university.edu</v>
      </c>
      <c r="E82" t="s">
        <v>32</v>
      </c>
      <c r="F82" s="1">
        <v>36606</v>
      </c>
      <c r="G82" s="2">
        <f ca="1">DATEDIF(Query1[[#This Row],[Date of Birth]],TODAY(),"Y")</f>
        <v>25</v>
      </c>
      <c r="H82" t="s">
        <v>113</v>
      </c>
      <c r="I82">
        <v>2020</v>
      </c>
      <c r="J82" t="s">
        <v>34</v>
      </c>
      <c r="K82" t="s">
        <v>35</v>
      </c>
      <c r="N82" t="s">
        <v>263</v>
      </c>
      <c r="O82" t="s">
        <v>37</v>
      </c>
      <c r="P82">
        <v>3</v>
      </c>
      <c r="Q82" t="s">
        <v>67</v>
      </c>
      <c r="R82" t="s">
        <v>68</v>
      </c>
      <c r="S82" t="s">
        <v>40</v>
      </c>
      <c r="T82" t="s">
        <v>41</v>
      </c>
      <c r="U82">
        <v>74</v>
      </c>
      <c r="V82">
        <v>32</v>
      </c>
      <c r="W82">
        <v>77</v>
      </c>
      <c r="X82" s="2">
        <f>AVERAGE(Query1[[#This Row],[Assignment 1 Score]],Query1[[#This Row],[Assignment 2 Score]],Query1[[#This Row],[Midterm Exam Score]])</f>
        <v>61</v>
      </c>
      <c r="Y82" t="str" cm="1">
        <f t="array" ref="Y8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82" s="3">
        <f>Query1[[#This Row],[Final Score]]*5/100</f>
        <v>3.05</v>
      </c>
      <c r="AA82" s="4">
        <v>0.89349999999999996</v>
      </c>
      <c r="AB82" s="4"/>
      <c r="AC82" s="5">
        <v>12363</v>
      </c>
      <c r="AD82" s="5">
        <v>2000</v>
      </c>
      <c r="AE82" s="5">
        <f>Query1[[#This Row],[Tuition Fee]]-Query1[[#This Row],[Scholarship Amount]]</f>
        <v>10363</v>
      </c>
      <c r="AF82" t="s">
        <v>60</v>
      </c>
    </row>
    <row r="83" spans="1:32" x14ac:dyDescent="0.35">
      <c r="A83" t="s">
        <v>264</v>
      </c>
      <c r="B83" t="s">
        <v>833</v>
      </c>
      <c r="C83" t="s">
        <v>1171</v>
      </c>
      <c r="D83" t="str">
        <f>LEFT(Query1[[#This Row],[First Name]],1) &amp; "." &amp; Query1[[#This Row],[Last Name]] &amp; "@university.edu"</f>
        <v>K.Josephi@university.edu</v>
      </c>
      <c r="E83" t="s">
        <v>43</v>
      </c>
      <c r="F83" s="1">
        <v>36616</v>
      </c>
      <c r="G83" s="2">
        <f ca="1">DATEDIF(Query1[[#This Row],[Date of Birth]],TODAY(),"Y")</f>
        <v>25</v>
      </c>
      <c r="H83" t="s">
        <v>119</v>
      </c>
      <c r="I83">
        <v>2021</v>
      </c>
      <c r="J83" t="s">
        <v>45</v>
      </c>
      <c r="K83" t="s">
        <v>46</v>
      </c>
      <c r="N83" t="s">
        <v>265</v>
      </c>
      <c r="O83" t="s">
        <v>48</v>
      </c>
      <c r="P83">
        <v>3</v>
      </c>
      <c r="Q83" t="s">
        <v>76</v>
      </c>
      <c r="R83" t="s">
        <v>77</v>
      </c>
      <c r="S83" t="s">
        <v>29</v>
      </c>
      <c r="T83" t="s">
        <v>51</v>
      </c>
      <c r="U83">
        <v>88</v>
      </c>
      <c r="V83">
        <v>44</v>
      </c>
      <c r="W83">
        <v>91</v>
      </c>
      <c r="X83" s="2">
        <f>AVERAGE(Query1[[#This Row],[Assignment 1 Score]],Query1[[#This Row],[Assignment 2 Score]],Query1[[#This Row],[Midterm Exam Score]])</f>
        <v>74.333333333333329</v>
      </c>
      <c r="Y83" t="str" cm="1">
        <f t="array" ref="Y8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83" s="3">
        <f>Query1[[#This Row],[Final Score]]*5/100</f>
        <v>3.7166666666666663</v>
      </c>
      <c r="AA83" s="4">
        <v>0.93274999999999997</v>
      </c>
      <c r="AB83" s="4"/>
      <c r="AC83" s="5">
        <v>13386</v>
      </c>
      <c r="AD83" s="5">
        <v>1000</v>
      </c>
      <c r="AE83" s="5">
        <f>Query1[[#This Row],[Tuition Fee]]-Query1[[#This Row],[Scholarship Amount]]</f>
        <v>12386</v>
      </c>
      <c r="AF83" t="s">
        <v>31</v>
      </c>
    </row>
    <row r="84" spans="1:32" x14ac:dyDescent="0.35">
      <c r="A84" t="s">
        <v>266</v>
      </c>
      <c r="B84" t="s">
        <v>834</v>
      </c>
      <c r="C84" t="s">
        <v>1172</v>
      </c>
      <c r="D84" t="str">
        <f>LEFT(Query1[[#This Row],[First Name]],1) &amp; "." &amp; Query1[[#This Row],[Last Name]] &amp; "@university.edu"</f>
        <v>A.Cranstone@university.edu</v>
      </c>
      <c r="E84" t="s">
        <v>32</v>
      </c>
      <c r="F84" s="1">
        <v>36626</v>
      </c>
      <c r="G84" s="2">
        <f ca="1">DATEDIF(Query1[[#This Row],[Date of Birth]],TODAY(),"Y")</f>
        <v>25</v>
      </c>
      <c r="H84" t="s">
        <v>124</v>
      </c>
      <c r="I84">
        <v>2022</v>
      </c>
      <c r="J84" t="s">
        <v>54</v>
      </c>
      <c r="K84" t="s">
        <v>55</v>
      </c>
      <c r="N84" t="s">
        <v>267</v>
      </c>
      <c r="O84" t="s">
        <v>57</v>
      </c>
      <c r="P84">
        <v>3</v>
      </c>
      <c r="Q84" t="s">
        <v>82</v>
      </c>
      <c r="R84" t="s">
        <v>83</v>
      </c>
      <c r="S84" t="s">
        <v>40</v>
      </c>
      <c r="T84" t="s">
        <v>30</v>
      </c>
      <c r="U84">
        <v>67</v>
      </c>
      <c r="V84">
        <v>70</v>
      </c>
      <c r="W84">
        <v>70</v>
      </c>
      <c r="X84" s="2">
        <f>AVERAGE(Query1[[#This Row],[Assignment 1 Score]],Query1[[#This Row],[Assignment 2 Score]],Query1[[#This Row],[Midterm Exam Score]])</f>
        <v>69</v>
      </c>
      <c r="Y84" t="str" cm="1">
        <f t="array" ref="Y8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84" s="3">
        <f>Query1[[#This Row],[Final Score]]*5/100</f>
        <v>3.45</v>
      </c>
      <c r="AA84" s="4">
        <v>0.88149999999999995</v>
      </c>
      <c r="AB84" s="4"/>
      <c r="AC84" s="5">
        <v>11409</v>
      </c>
      <c r="AD84" s="5">
        <v>1000</v>
      </c>
      <c r="AE84" s="5">
        <f>Query1[[#This Row],[Tuition Fee]]-Query1[[#This Row],[Scholarship Amount]]</f>
        <v>10409</v>
      </c>
      <c r="AF84" t="s">
        <v>31</v>
      </c>
    </row>
    <row r="85" spans="1:32" x14ac:dyDescent="0.35">
      <c r="A85" t="s">
        <v>268</v>
      </c>
      <c r="B85" t="s">
        <v>835</v>
      </c>
      <c r="C85" t="s">
        <v>1173</v>
      </c>
      <c r="D85" t="str">
        <f>LEFT(Query1[[#This Row],[First Name]],1) &amp; "." &amp; Query1[[#This Row],[Last Name]] &amp; "@university.edu"</f>
        <v>C.Blaze@university.edu</v>
      </c>
      <c r="E85" t="s">
        <v>43</v>
      </c>
      <c r="F85" s="1">
        <v>36636</v>
      </c>
      <c r="G85" s="2">
        <f ca="1">DATEDIF(Query1[[#This Row],[Date of Birth]],TODAY(),"Y")</f>
        <v>25</v>
      </c>
      <c r="H85" t="s">
        <v>127</v>
      </c>
      <c r="I85">
        <v>2023</v>
      </c>
      <c r="J85" t="s">
        <v>63</v>
      </c>
      <c r="K85" t="s">
        <v>98</v>
      </c>
      <c r="N85" t="s">
        <v>269</v>
      </c>
      <c r="O85" t="s">
        <v>100</v>
      </c>
      <c r="P85">
        <v>5</v>
      </c>
      <c r="Q85" t="s">
        <v>89</v>
      </c>
      <c r="R85" t="s">
        <v>90</v>
      </c>
      <c r="S85" t="s">
        <v>29</v>
      </c>
      <c r="T85" t="s">
        <v>69</v>
      </c>
      <c r="U85">
        <v>91</v>
      </c>
      <c r="V85">
        <v>89</v>
      </c>
      <c r="W85">
        <v>84</v>
      </c>
      <c r="X85" s="2">
        <f>AVERAGE(Query1[[#This Row],[Assignment 1 Score]],Query1[[#This Row],[Assignment 2 Score]],Query1[[#This Row],[Midterm Exam Score]])</f>
        <v>88</v>
      </c>
      <c r="Y85" t="str" cm="1">
        <f t="array" ref="Y8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85" s="3">
        <f>Query1[[#This Row],[Final Score]]*5/100</f>
        <v>4.4000000000000004</v>
      </c>
      <c r="AA85" s="4">
        <v>0.92449999999999999</v>
      </c>
      <c r="AB85" s="4"/>
      <c r="AC85" s="5">
        <v>15432</v>
      </c>
      <c r="AD85" s="5">
        <v>0</v>
      </c>
      <c r="AE85" s="5">
        <f>Query1[[#This Row],[Tuition Fee]]-Query1[[#This Row],[Scholarship Amount]]</f>
        <v>15432</v>
      </c>
      <c r="AF85" t="s">
        <v>60</v>
      </c>
    </row>
    <row r="86" spans="1:32" x14ac:dyDescent="0.35">
      <c r="A86" t="s">
        <v>270</v>
      </c>
      <c r="B86" t="s">
        <v>836</v>
      </c>
      <c r="C86" t="s">
        <v>1174</v>
      </c>
      <c r="D86" t="str">
        <f>LEFT(Query1[[#This Row],[First Name]],1) &amp; "." &amp; Query1[[#This Row],[Last Name]] &amp; "@university.edu"</f>
        <v>M.Jandera@university.edu</v>
      </c>
      <c r="E86" t="s">
        <v>32</v>
      </c>
      <c r="F86" s="1">
        <v>36646</v>
      </c>
      <c r="G86" s="2">
        <f ca="1">DATEDIF(Query1[[#This Row],[Date of Birth]],TODAY(),"Y")</f>
        <v>25</v>
      </c>
      <c r="H86" t="s">
        <v>130</v>
      </c>
      <c r="I86">
        <v>2019</v>
      </c>
      <c r="J86" t="s">
        <v>72</v>
      </c>
      <c r="K86" t="s">
        <v>73</v>
      </c>
      <c r="N86" t="s">
        <v>271</v>
      </c>
      <c r="O86" t="s">
        <v>75</v>
      </c>
      <c r="P86">
        <v>4</v>
      </c>
      <c r="Q86" t="s">
        <v>38</v>
      </c>
      <c r="R86" t="s">
        <v>39</v>
      </c>
      <c r="S86" t="s">
        <v>40</v>
      </c>
      <c r="T86" t="s">
        <v>78</v>
      </c>
      <c r="U86">
        <v>70</v>
      </c>
      <c r="V86">
        <v>74</v>
      </c>
      <c r="W86">
        <v>63</v>
      </c>
      <c r="X86" s="2">
        <f>AVERAGE(Query1[[#This Row],[Assignment 1 Score]],Query1[[#This Row],[Assignment 2 Score]],Query1[[#This Row],[Midterm Exam Score]])</f>
        <v>69</v>
      </c>
      <c r="Y86" t="str" cm="1">
        <f t="array" ref="Y8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86" s="3">
        <f>Query1[[#This Row],[Final Score]]*5/100</f>
        <v>3.45</v>
      </c>
      <c r="AA86" s="4">
        <v>0.87624999999999997</v>
      </c>
      <c r="AB86" s="4"/>
      <c r="AC86" s="5">
        <v>12955</v>
      </c>
      <c r="AD86" s="5">
        <v>1000</v>
      </c>
      <c r="AE86" s="5">
        <f>Query1[[#This Row],[Tuition Fee]]-Query1[[#This Row],[Scholarship Amount]]</f>
        <v>11955</v>
      </c>
      <c r="AF86" t="s">
        <v>31</v>
      </c>
    </row>
    <row r="87" spans="1:32" x14ac:dyDescent="0.35">
      <c r="A87" t="s">
        <v>272</v>
      </c>
      <c r="B87" t="s">
        <v>837</v>
      </c>
      <c r="C87" t="s">
        <v>1175</v>
      </c>
      <c r="D87" t="str">
        <f>LEFT(Query1[[#This Row],[First Name]],1) &amp; "." &amp; Query1[[#This Row],[Last Name]] &amp; "@university.edu"</f>
        <v>R.Swaite@university.edu</v>
      </c>
      <c r="E87" t="s">
        <v>43</v>
      </c>
      <c r="F87" s="1">
        <v>36656</v>
      </c>
      <c r="G87" s="2">
        <f ca="1">DATEDIF(Query1[[#This Row],[Date of Birth]],TODAY(),"Y")</f>
        <v>25</v>
      </c>
      <c r="H87" t="s">
        <v>33</v>
      </c>
      <c r="I87">
        <v>2020</v>
      </c>
      <c r="J87" t="s">
        <v>34</v>
      </c>
      <c r="K87" t="s">
        <v>35</v>
      </c>
      <c r="N87" t="s">
        <v>273</v>
      </c>
      <c r="O87" t="s">
        <v>37</v>
      </c>
      <c r="P87">
        <v>3</v>
      </c>
      <c r="Q87" t="s">
        <v>49</v>
      </c>
      <c r="R87" t="s">
        <v>50</v>
      </c>
      <c r="S87" t="s">
        <v>29</v>
      </c>
      <c r="T87" t="s">
        <v>41</v>
      </c>
      <c r="U87">
        <v>84</v>
      </c>
      <c r="V87">
        <v>86</v>
      </c>
      <c r="W87">
        <v>93</v>
      </c>
      <c r="X87" s="2">
        <f>AVERAGE(Query1[[#This Row],[Assignment 1 Score]],Query1[[#This Row],[Assignment 2 Score]],Query1[[#This Row],[Midterm Exam Score]])</f>
        <v>87.666666666666671</v>
      </c>
      <c r="Y87" t="str" cm="1">
        <f t="array" ref="Y8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87" s="3">
        <f>Query1[[#This Row],[Final Score]]*5/100</f>
        <v>4.3833333333333337</v>
      </c>
      <c r="AA87" s="4">
        <v>0.92449999999999999</v>
      </c>
      <c r="AB87" s="4"/>
      <c r="AC87" s="5">
        <v>12478</v>
      </c>
      <c r="AD87" s="5">
        <v>1000</v>
      </c>
      <c r="AE87" s="5">
        <f>Query1[[#This Row],[Tuition Fee]]-Query1[[#This Row],[Scholarship Amount]]</f>
        <v>11478</v>
      </c>
      <c r="AF87" t="s">
        <v>31</v>
      </c>
    </row>
    <row r="88" spans="1:32" x14ac:dyDescent="0.35">
      <c r="A88" t="s">
        <v>274</v>
      </c>
      <c r="B88" t="s">
        <v>838</v>
      </c>
      <c r="C88" t="s">
        <v>1176</v>
      </c>
      <c r="D88" t="str">
        <f>LEFT(Query1[[#This Row],[First Name]],1) &amp; "." &amp; Query1[[#This Row],[Last Name]] &amp; "@university.edu"</f>
        <v>H.Minci@university.edu</v>
      </c>
      <c r="E88" t="s">
        <v>32</v>
      </c>
      <c r="F88" s="1">
        <v>36666</v>
      </c>
      <c r="G88" s="2">
        <f ca="1">DATEDIF(Query1[[#This Row],[Date of Birth]],TODAY(),"Y")</f>
        <v>25</v>
      </c>
      <c r="H88" t="s">
        <v>44</v>
      </c>
      <c r="I88">
        <v>2021</v>
      </c>
      <c r="J88" t="s">
        <v>45</v>
      </c>
      <c r="K88" t="s">
        <v>86</v>
      </c>
      <c r="N88" t="s">
        <v>275</v>
      </c>
      <c r="O88" t="s">
        <v>88</v>
      </c>
      <c r="P88">
        <v>3</v>
      </c>
      <c r="Q88" t="s">
        <v>58</v>
      </c>
      <c r="R88" t="s">
        <v>59</v>
      </c>
      <c r="S88" t="s">
        <v>40</v>
      </c>
      <c r="T88" t="s">
        <v>51</v>
      </c>
      <c r="U88">
        <v>73</v>
      </c>
      <c r="V88">
        <v>71</v>
      </c>
      <c r="W88">
        <v>72</v>
      </c>
      <c r="X88" s="2">
        <f>AVERAGE(Query1[[#This Row],[Assignment 1 Score]],Query1[[#This Row],[Assignment 2 Score]],Query1[[#This Row],[Midterm Exam Score]])</f>
        <v>72</v>
      </c>
      <c r="Y88" t="str" cm="1">
        <f t="array" ref="Y8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88" s="3">
        <f>Query1[[#This Row],[Final Score]]*5/100</f>
        <v>3.6</v>
      </c>
      <c r="AA88" s="4">
        <v>0.87999999999999989</v>
      </c>
      <c r="AB88" s="4"/>
      <c r="AC88" s="5">
        <v>13001</v>
      </c>
      <c r="AD88" s="5">
        <v>2000</v>
      </c>
      <c r="AE88" s="5">
        <f>Query1[[#This Row],[Tuition Fee]]-Query1[[#This Row],[Scholarship Amount]]</f>
        <v>11001</v>
      </c>
      <c r="AF88" t="s">
        <v>60</v>
      </c>
    </row>
    <row r="89" spans="1:32" x14ac:dyDescent="0.35">
      <c r="A89" t="s">
        <v>276</v>
      </c>
      <c r="B89" t="s">
        <v>839</v>
      </c>
      <c r="C89" t="s">
        <v>1177</v>
      </c>
      <c r="D89" t="str">
        <f>LEFT(Query1[[#This Row],[First Name]],1) &amp; "." &amp; Query1[[#This Row],[Last Name]] &amp; "@university.edu"</f>
        <v>G.Oxbie@university.edu</v>
      </c>
      <c r="E89" t="s">
        <v>43</v>
      </c>
      <c r="F89" s="1">
        <v>36676</v>
      </c>
      <c r="G89" s="2">
        <f ca="1">DATEDIF(Query1[[#This Row],[Date of Birth]],TODAY(),"Y")</f>
        <v>25</v>
      </c>
      <c r="H89" t="s">
        <v>53</v>
      </c>
      <c r="I89">
        <v>2022</v>
      </c>
      <c r="J89" t="s">
        <v>54</v>
      </c>
      <c r="K89" t="s">
        <v>93</v>
      </c>
      <c r="N89" t="s">
        <v>277</v>
      </c>
      <c r="O89" t="s">
        <v>95</v>
      </c>
      <c r="P89">
        <v>3</v>
      </c>
      <c r="Q89" t="s">
        <v>67</v>
      </c>
      <c r="R89" t="s">
        <v>68</v>
      </c>
      <c r="S89" t="s">
        <v>29</v>
      </c>
      <c r="T89" t="s">
        <v>30</v>
      </c>
      <c r="U89">
        <v>87</v>
      </c>
      <c r="V89">
        <v>83</v>
      </c>
      <c r="W89">
        <v>86</v>
      </c>
      <c r="X89" s="2">
        <f>AVERAGE(Query1[[#This Row],[Assignment 1 Score]],Query1[[#This Row],[Assignment 2 Score]],Query1[[#This Row],[Midterm Exam Score]])</f>
        <v>85.333333333333329</v>
      </c>
      <c r="Y89" t="str" cm="1">
        <f t="array" ref="Y8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89" s="3">
        <f>Query1[[#This Row],[Final Score]]*5/100</f>
        <v>4.2666666666666666</v>
      </c>
      <c r="AA89" s="4">
        <v>0.91625000000000001</v>
      </c>
      <c r="AB89" s="4"/>
      <c r="AC89" s="5">
        <v>11024</v>
      </c>
      <c r="AD89" s="5">
        <v>0</v>
      </c>
      <c r="AE89" s="5">
        <f>Query1[[#This Row],[Tuition Fee]]-Query1[[#This Row],[Scholarship Amount]]</f>
        <v>11024</v>
      </c>
      <c r="AF89" t="s">
        <v>31</v>
      </c>
    </row>
    <row r="90" spans="1:32" x14ac:dyDescent="0.35">
      <c r="A90" t="s">
        <v>278</v>
      </c>
      <c r="B90" t="s">
        <v>840</v>
      </c>
      <c r="C90" t="s">
        <v>1178</v>
      </c>
      <c r="D90" t="str">
        <f>LEFT(Query1[[#This Row],[First Name]],1) &amp; "." &amp; Query1[[#This Row],[Last Name]] &amp; "@university.edu"</f>
        <v>V.Rault@university.edu</v>
      </c>
      <c r="E90" t="s">
        <v>32</v>
      </c>
      <c r="F90" s="1">
        <v>36686</v>
      </c>
      <c r="G90" s="2">
        <f ca="1">DATEDIF(Query1[[#This Row],[Date of Birth]],TODAY(),"Y")</f>
        <v>25</v>
      </c>
      <c r="H90" t="s">
        <v>62</v>
      </c>
      <c r="I90">
        <v>2023</v>
      </c>
      <c r="J90" t="s">
        <v>63</v>
      </c>
      <c r="K90" t="s">
        <v>120</v>
      </c>
      <c r="N90" t="s">
        <v>279</v>
      </c>
      <c r="O90" t="s">
        <v>122</v>
      </c>
      <c r="P90">
        <v>5</v>
      </c>
      <c r="Q90" t="s">
        <v>76</v>
      </c>
      <c r="R90" t="s">
        <v>77</v>
      </c>
      <c r="S90" t="s">
        <v>40</v>
      </c>
      <c r="T90" t="s">
        <v>69</v>
      </c>
      <c r="U90">
        <v>66</v>
      </c>
      <c r="V90">
        <v>68</v>
      </c>
      <c r="W90">
        <v>65</v>
      </c>
      <c r="X90" s="2">
        <f>AVERAGE(Query1[[#This Row],[Assignment 1 Score]],Query1[[#This Row],[Assignment 2 Score]],Query1[[#This Row],[Midterm Exam Score]])</f>
        <v>66.333333333333329</v>
      </c>
      <c r="Y90" t="str" cm="1">
        <f t="array" ref="Y9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90" s="3">
        <f>Query1[[#This Row],[Final Score]]*5/100</f>
        <v>3.3166666666666664</v>
      </c>
      <c r="AA90" s="4">
        <v>0.86799999999999999</v>
      </c>
      <c r="AB90" s="4"/>
      <c r="AC90" s="5">
        <v>15047</v>
      </c>
      <c r="AD90" s="5">
        <v>1000</v>
      </c>
      <c r="AE90" s="5">
        <f>Query1[[#This Row],[Tuition Fee]]-Query1[[#This Row],[Scholarship Amount]]</f>
        <v>14047</v>
      </c>
      <c r="AF90" t="s">
        <v>31</v>
      </c>
    </row>
    <row r="91" spans="1:32" x14ac:dyDescent="0.35">
      <c r="A91" t="s">
        <v>280</v>
      </c>
      <c r="B91" t="s">
        <v>841</v>
      </c>
      <c r="C91" t="s">
        <v>1179</v>
      </c>
      <c r="D91" t="str">
        <f>LEFT(Query1[[#This Row],[First Name]],1) &amp; "." &amp; Query1[[#This Row],[Last Name]] &amp; "@university.edu"</f>
        <v>L.Braysher@university.edu</v>
      </c>
      <c r="E91" t="s">
        <v>43</v>
      </c>
      <c r="F91" s="1">
        <v>36696</v>
      </c>
      <c r="G91" s="2">
        <f ca="1">DATEDIF(Query1[[#This Row],[Date of Birth]],TODAY(),"Y")</f>
        <v>25</v>
      </c>
      <c r="H91" t="s">
        <v>71</v>
      </c>
      <c r="I91">
        <v>2019</v>
      </c>
      <c r="J91" t="s">
        <v>72</v>
      </c>
      <c r="K91" t="s">
        <v>73</v>
      </c>
      <c r="N91" t="s">
        <v>281</v>
      </c>
      <c r="O91" t="s">
        <v>75</v>
      </c>
      <c r="P91">
        <v>4</v>
      </c>
      <c r="Q91" t="s">
        <v>82</v>
      </c>
      <c r="R91" t="s">
        <v>83</v>
      </c>
      <c r="S91" t="s">
        <v>29</v>
      </c>
      <c r="T91" t="s">
        <v>78</v>
      </c>
      <c r="U91">
        <v>80</v>
      </c>
      <c r="V91">
        <v>88</v>
      </c>
      <c r="W91">
        <v>79</v>
      </c>
      <c r="X91" s="2">
        <f>AVERAGE(Query1[[#This Row],[Assignment 1 Score]],Query1[[#This Row],[Assignment 2 Score]],Query1[[#This Row],[Midterm Exam Score]])</f>
        <v>82.333333333333329</v>
      </c>
      <c r="Y91" t="str" cm="1">
        <f t="array" ref="Y9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91" s="3">
        <f>Query1[[#This Row],[Final Score]]*5/100</f>
        <v>4.1166666666666663</v>
      </c>
      <c r="AA91" s="4">
        <v>0.90725</v>
      </c>
      <c r="AB91" s="4"/>
      <c r="AC91" s="5">
        <v>12570</v>
      </c>
      <c r="AD91" s="5">
        <v>2000</v>
      </c>
      <c r="AE91" s="5">
        <f>Query1[[#This Row],[Tuition Fee]]-Query1[[#This Row],[Scholarship Amount]]</f>
        <v>10570</v>
      </c>
      <c r="AF91" t="s">
        <v>60</v>
      </c>
    </row>
    <row r="92" spans="1:32" x14ac:dyDescent="0.35">
      <c r="A92" t="s">
        <v>282</v>
      </c>
      <c r="B92" t="s">
        <v>842</v>
      </c>
      <c r="C92" t="s">
        <v>1180</v>
      </c>
      <c r="D92" t="str">
        <f>LEFT(Query1[[#This Row],[First Name]],1) &amp; "." &amp; Query1[[#This Row],[Last Name]] &amp; "@university.edu"</f>
        <v>I.Sibbering@university.edu</v>
      </c>
      <c r="E92" t="s">
        <v>32</v>
      </c>
      <c r="F92" s="1">
        <v>36706</v>
      </c>
      <c r="G92" s="2">
        <f ca="1">DATEDIF(Query1[[#This Row],[Date of Birth]],TODAY(),"Y")</f>
        <v>25</v>
      </c>
      <c r="H92" t="s">
        <v>80</v>
      </c>
      <c r="I92">
        <v>2020</v>
      </c>
      <c r="J92" t="s">
        <v>34</v>
      </c>
      <c r="K92" t="s">
        <v>35</v>
      </c>
      <c r="N92" t="s">
        <v>283</v>
      </c>
      <c r="O92" t="s">
        <v>37</v>
      </c>
      <c r="P92">
        <v>3</v>
      </c>
      <c r="Q92" t="s">
        <v>89</v>
      </c>
      <c r="R92" t="s">
        <v>90</v>
      </c>
      <c r="S92" t="s">
        <v>40</v>
      </c>
      <c r="T92" t="s">
        <v>41</v>
      </c>
      <c r="U92">
        <v>69</v>
      </c>
      <c r="V92">
        <v>65</v>
      </c>
      <c r="W92">
        <v>74</v>
      </c>
      <c r="X92" s="2">
        <f>AVERAGE(Query1[[#This Row],[Assignment 1 Score]],Query1[[#This Row],[Assignment 2 Score]],Query1[[#This Row],[Midterm Exam Score]])</f>
        <v>69.333333333333329</v>
      </c>
      <c r="Y92" t="str" cm="1">
        <f t="array" ref="Y9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92" s="3">
        <f>Query1[[#This Row],[Final Score]]*5/100</f>
        <v>3.4666666666666663</v>
      </c>
      <c r="AA92" s="4">
        <v>0.87175000000000002</v>
      </c>
      <c r="AB92" s="4"/>
      <c r="AC92" s="5">
        <v>12093</v>
      </c>
      <c r="AD92" s="5">
        <v>5000</v>
      </c>
      <c r="AE92" s="5">
        <f>Query1[[#This Row],[Tuition Fee]]-Query1[[#This Row],[Scholarship Amount]]</f>
        <v>7093</v>
      </c>
      <c r="AF92" t="s">
        <v>31</v>
      </c>
    </row>
    <row r="93" spans="1:32" x14ac:dyDescent="0.35">
      <c r="A93" t="s">
        <v>284</v>
      </c>
      <c r="B93" t="s">
        <v>843</v>
      </c>
      <c r="C93" t="s">
        <v>776</v>
      </c>
      <c r="D93" t="str">
        <f>LEFT(Query1[[#This Row],[First Name]],1) &amp; "." &amp; Query1[[#This Row],[Last Name]] &amp; "@university.edu"</f>
        <v>L.Graeme@university.edu</v>
      </c>
      <c r="E93" t="s">
        <v>43</v>
      </c>
      <c r="F93" s="1">
        <v>36716</v>
      </c>
      <c r="G93" s="2">
        <f ca="1">DATEDIF(Query1[[#This Row],[Date of Birth]],TODAY(),"Y")</f>
        <v>25</v>
      </c>
      <c r="H93" t="s">
        <v>85</v>
      </c>
      <c r="I93">
        <v>2021</v>
      </c>
      <c r="J93" t="s">
        <v>45</v>
      </c>
      <c r="K93" t="s">
        <v>109</v>
      </c>
      <c r="N93" t="s">
        <v>285</v>
      </c>
      <c r="O93" t="s">
        <v>111</v>
      </c>
      <c r="P93">
        <v>3</v>
      </c>
      <c r="Q93" t="s">
        <v>38</v>
      </c>
      <c r="R93" t="s">
        <v>39</v>
      </c>
      <c r="S93" t="s">
        <v>29</v>
      </c>
      <c r="T93" t="s">
        <v>51</v>
      </c>
      <c r="U93">
        <v>83</v>
      </c>
      <c r="V93">
        <v>85</v>
      </c>
      <c r="W93">
        <v>88</v>
      </c>
      <c r="X93" s="2">
        <f>AVERAGE(Query1[[#This Row],[Assignment 1 Score]],Query1[[#This Row],[Assignment 2 Score]],Query1[[#This Row],[Midterm Exam Score]])</f>
        <v>85.333333333333329</v>
      </c>
      <c r="Y93" t="str" cm="1">
        <f t="array" ref="Y9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93" s="3">
        <f>Query1[[#This Row],[Final Score]]*5/100</f>
        <v>4.2666666666666666</v>
      </c>
      <c r="AA93" s="4">
        <v>0.91100000000000003</v>
      </c>
      <c r="AB93" s="4"/>
      <c r="AC93" s="5">
        <v>13116</v>
      </c>
      <c r="AD93" s="5">
        <v>0</v>
      </c>
      <c r="AE93" s="5">
        <f>Query1[[#This Row],[Tuition Fee]]-Query1[[#This Row],[Scholarship Amount]]</f>
        <v>13116</v>
      </c>
      <c r="AF93" t="s">
        <v>31</v>
      </c>
    </row>
    <row r="94" spans="1:32" x14ac:dyDescent="0.35">
      <c r="A94" t="s">
        <v>286</v>
      </c>
      <c r="B94" t="s">
        <v>844</v>
      </c>
      <c r="C94" t="s">
        <v>1181</v>
      </c>
      <c r="D94" t="str">
        <f>LEFT(Query1[[#This Row],[First Name]],1) &amp; "." &amp; Query1[[#This Row],[Last Name]] &amp; "@university.edu"</f>
        <v>S.Enevoldsen@university.edu</v>
      </c>
      <c r="E94" t="s">
        <v>32</v>
      </c>
      <c r="F94" s="1">
        <v>36726</v>
      </c>
      <c r="G94" s="2">
        <f ca="1">DATEDIF(Query1[[#This Row],[Date of Birth]],TODAY(),"Y")</f>
        <v>25</v>
      </c>
      <c r="H94" t="s">
        <v>92</v>
      </c>
      <c r="I94">
        <v>2022</v>
      </c>
      <c r="J94" t="s">
        <v>54</v>
      </c>
      <c r="K94" t="s">
        <v>114</v>
      </c>
      <c r="N94" t="s">
        <v>287</v>
      </c>
      <c r="O94" t="s">
        <v>116</v>
      </c>
      <c r="P94">
        <v>3</v>
      </c>
      <c r="Q94" t="s">
        <v>49</v>
      </c>
      <c r="R94" t="s">
        <v>50</v>
      </c>
      <c r="S94" t="s">
        <v>40</v>
      </c>
      <c r="T94" t="s">
        <v>30</v>
      </c>
      <c r="U94">
        <v>62</v>
      </c>
      <c r="V94">
        <v>70</v>
      </c>
      <c r="W94">
        <v>67</v>
      </c>
      <c r="X94" s="2">
        <f>AVERAGE(Query1[[#This Row],[Assignment 1 Score]],Query1[[#This Row],[Assignment 2 Score]],Query1[[#This Row],[Midterm Exam Score]])</f>
        <v>66.333333333333329</v>
      </c>
      <c r="Y94" t="str" cm="1">
        <f t="array" ref="Y9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94" s="3">
        <f>Query1[[#This Row],[Final Score]]*5/100</f>
        <v>3.3166666666666664</v>
      </c>
      <c r="AA94" s="4">
        <v>0.86274999999999991</v>
      </c>
      <c r="AB94" s="4"/>
      <c r="AC94" s="5">
        <v>11139</v>
      </c>
      <c r="AD94" s="5">
        <v>2000</v>
      </c>
      <c r="AE94" s="5">
        <f>Query1[[#This Row],[Tuition Fee]]-Query1[[#This Row],[Scholarship Amount]]</f>
        <v>9139</v>
      </c>
      <c r="AF94" t="s">
        <v>60</v>
      </c>
    </row>
    <row r="95" spans="1:32" x14ac:dyDescent="0.35">
      <c r="A95" t="s">
        <v>288</v>
      </c>
      <c r="B95" t="s">
        <v>845</v>
      </c>
      <c r="C95" t="s">
        <v>1182</v>
      </c>
      <c r="D95" t="str">
        <f>LEFT(Query1[[#This Row],[First Name]],1) &amp; "." &amp; Query1[[#This Row],[Last Name]] &amp; "@university.edu"</f>
        <v>C.Hunday@university.edu</v>
      </c>
      <c r="E95" t="s">
        <v>43</v>
      </c>
      <c r="F95" s="1">
        <v>36736</v>
      </c>
      <c r="G95" s="2">
        <f ca="1">DATEDIF(Query1[[#This Row],[Date of Birth]],TODAY(),"Y")</f>
        <v>25</v>
      </c>
      <c r="H95" t="s">
        <v>97</v>
      </c>
      <c r="I95">
        <v>2023</v>
      </c>
      <c r="J95" t="s">
        <v>63</v>
      </c>
      <c r="K95" t="s">
        <v>64</v>
      </c>
      <c r="N95" t="s">
        <v>289</v>
      </c>
      <c r="O95" t="s">
        <v>66</v>
      </c>
      <c r="P95">
        <v>5</v>
      </c>
      <c r="Q95" t="s">
        <v>58</v>
      </c>
      <c r="R95" t="s">
        <v>59</v>
      </c>
      <c r="S95" t="s">
        <v>29</v>
      </c>
      <c r="T95" t="s">
        <v>69</v>
      </c>
      <c r="U95">
        <v>86</v>
      </c>
      <c r="V95">
        <v>82</v>
      </c>
      <c r="W95">
        <v>81</v>
      </c>
      <c r="X95" s="2">
        <f>AVERAGE(Query1[[#This Row],[Assignment 1 Score]],Query1[[#This Row],[Assignment 2 Score]],Query1[[#This Row],[Midterm Exam Score]])</f>
        <v>83</v>
      </c>
      <c r="Y95" t="str" cm="1">
        <f t="array" ref="Y9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95" s="3">
        <f>Query1[[#This Row],[Final Score]]*5/100</f>
        <v>4.1500000000000004</v>
      </c>
      <c r="AA95" s="4">
        <v>0.90274999999999994</v>
      </c>
      <c r="AB95" s="4"/>
      <c r="AC95" s="5">
        <v>15162</v>
      </c>
      <c r="AD95" s="5">
        <v>1000</v>
      </c>
      <c r="AE95" s="5">
        <f>Query1[[#This Row],[Tuition Fee]]-Query1[[#This Row],[Scholarship Amount]]</f>
        <v>14162</v>
      </c>
      <c r="AF95" t="s">
        <v>31</v>
      </c>
    </row>
    <row r="96" spans="1:32" x14ac:dyDescent="0.35">
      <c r="A96" t="s">
        <v>290</v>
      </c>
      <c r="B96" t="s">
        <v>846</v>
      </c>
      <c r="C96" t="s">
        <v>1183</v>
      </c>
      <c r="D96" t="str">
        <f>LEFT(Query1[[#This Row],[First Name]],1) &amp; "." &amp; Query1[[#This Row],[Last Name]] &amp; "@university.edu"</f>
        <v>J.Barth@university.edu</v>
      </c>
      <c r="E96" t="s">
        <v>32</v>
      </c>
      <c r="F96" s="1">
        <v>36746</v>
      </c>
      <c r="G96" s="2">
        <f ca="1">DATEDIF(Query1[[#This Row],[Date of Birth]],TODAY(),"Y")</f>
        <v>25</v>
      </c>
      <c r="H96" t="s">
        <v>102</v>
      </c>
      <c r="I96">
        <v>2019</v>
      </c>
      <c r="J96" t="s">
        <v>72</v>
      </c>
      <c r="K96" t="s">
        <v>73</v>
      </c>
      <c r="N96" t="s">
        <v>291</v>
      </c>
      <c r="O96" t="s">
        <v>75</v>
      </c>
      <c r="P96">
        <v>4</v>
      </c>
      <c r="Q96" t="s">
        <v>67</v>
      </c>
      <c r="R96" t="s">
        <v>68</v>
      </c>
      <c r="S96" t="s">
        <v>40</v>
      </c>
      <c r="T96" t="s">
        <v>78</v>
      </c>
      <c r="U96">
        <v>65</v>
      </c>
      <c r="V96">
        <v>67</v>
      </c>
      <c r="W96">
        <v>60</v>
      </c>
      <c r="X96" s="2">
        <f>AVERAGE(Query1[[#This Row],[Assignment 1 Score]],Query1[[#This Row],[Assignment 2 Score]],Query1[[#This Row],[Midterm Exam Score]])</f>
        <v>64</v>
      </c>
      <c r="Y96" t="str" cm="1">
        <f t="array" ref="Y9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96" s="3">
        <f>Query1[[#This Row],[Final Score]]*5/100</f>
        <v>3.2</v>
      </c>
      <c r="AA96" s="4">
        <v>0.85449999999999993</v>
      </c>
      <c r="AB96" s="4"/>
      <c r="AC96" s="5">
        <v>12685</v>
      </c>
      <c r="AD96" s="5">
        <v>1000</v>
      </c>
      <c r="AE96" s="5">
        <f>Query1[[#This Row],[Tuition Fee]]-Query1[[#This Row],[Scholarship Amount]]</f>
        <v>11685</v>
      </c>
      <c r="AF96" t="s">
        <v>31</v>
      </c>
    </row>
    <row r="97" spans="1:32" x14ac:dyDescent="0.35">
      <c r="A97" t="s">
        <v>292</v>
      </c>
      <c r="B97" t="s">
        <v>847</v>
      </c>
      <c r="C97" t="s">
        <v>1184</v>
      </c>
      <c r="D97" t="str">
        <f>LEFT(Query1[[#This Row],[First Name]],1) &amp; "." &amp; Query1[[#This Row],[Last Name]] &amp; "@university.edu"</f>
        <v>L.Deacock@university.edu</v>
      </c>
      <c r="E97" t="s">
        <v>43</v>
      </c>
      <c r="F97" s="1">
        <v>36756</v>
      </c>
      <c r="G97" s="2">
        <f ca="1">DATEDIF(Query1[[#This Row],[Date of Birth]],TODAY(),"Y")</f>
        <v>25</v>
      </c>
      <c r="H97" t="s">
        <v>105</v>
      </c>
      <c r="I97">
        <v>2020</v>
      </c>
      <c r="J97" t="s">
        <v>34</v>
      </c>
      <c r="K97" t="s">
        <v>35</v>
      </c>
      <c r="N97" t="s">
        <v>293</v>
      </c>
      <c r="O97" t="s">
        <v>37</v>
      </c>
      <c r="P97">
        <v>3</v>
      </c>
      <c r="Q97" t="s">
        <v>76</v>
      </c>
      <c r="R97" t="s">
        <v>77</v>
      </c>
      <c r="S97" t="s">
        <v>29</v>
      </c>
      <c r="T97" t="s">
        <v>41</v>
      </c>
      <c r="U97">
        <v>79</v>
      </c>
      <c r="V97">
        <v>79</v>
      </c>
      <c r="W97">
        <v>50</v>
      </c>
      <c r="X97" s="2">
        <f>AVERAGE(Query1[[#This Row],[Assignment 1 Score]],Query1[[#This Row],[Assignment 2 Score]],Query1[[#This Row],[Midterm Exam Score]])</f>
        <v>69.333333333333329</v>
      </c>
      <c r="Y97" t="str" cm="1">
        <f t="array" ref="Y9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97" s="3">
        <f>Query1[[#This Row],[Final Score]]*5/100</f>
        <v>3.4666666666666663</v>
      </c>
      <c r="AA97" s="4">
        <v>0.89074999999999993</v>
      </c>
      <c r="AB97" s="4"/>
      <c r="AC97" s="5">
        <v>12208</v>
      </c>
      <c r="AD97" s="5">
        <v>0</v>
      </c>
      <c r="AE97" s="5">
        <f>Query1[[#This Row],[Tuition Fee]]-Query1[[#This Row],[Scholarship Amount]]</f>
        <v>12208</v>
      </c>
      <c r="AF97" t="s">
        <v>60</v>
      </c>
    </row>
    <row r="98" spans="1:32" x14ac:dyDescent="0.35">
      <c r="A98" t="s">
        <v>294</v>
      </c>
      <c r="B98" t="s">
        <v>848</v>
      </c>
      <c r="C98" t="s">
        <v>1185</v>
      </c>
      <c r="D98" t="str">
        <f>LEFT(Query1[[#This Row],[First Name]],1) &amp; "." &amp; Query1[[#This Row],[Last Name]] &amp; "@university.edu"</f>
        <v>B.Plail@university.edu</v>
      </c>
      <c r="E98" t="s">
        <v>32</v>
      </c>
      <c r="F98" s="1">
        <v>36766</v>
      </c>
      <c r="G98" s="2">
        <f ca="1">DATEDIF(Query1[[#This Row],[Date of Birth]],TODAY(),"Y")</f>
        <v>25</v>
      </c>
      <c r="H98" t="s">
        <v>108</v>
      </c>
      <c r="I98">
        <v>2021</v>
      </c>
      <c r="J98" t="s">
        <v>45</v>
      </c>
      <c r="K98" t="s">
        <v>131</v>
      </c>
      <c r="N98" t="s">
        <v>295</v>
      </c>
      <c r="O98" t="s">
        <v>133</v>
      </c>
      <c r="P98">
        <v>3</v>
      </c>
      <c r="Q98" t="s">
        <v>82</v>
      </c>
      <c r="R98" t="s">
        <v>83</v>
      </c>
      <c r="S98" t="s">
        <v>40</v>
      </c>
      <c r="T98" t="s">
        <v>51</v>
      </c>
      <c r="U98">
        <v>68</v>
      </c>
      <c r="V98">
        <v>64</v>
      </c>
      <c r="W98">
        <v>50</v>
      </c>
      <c r="X98" s="2">
        <f>AVERAGE(Query1[[#This Row],[Assignment 1 Score]],Query1[[#This Row],[Assignment 2 Score]],Query1[[#This Row],[Midterm Exam Score]])</f>
        <v>60.666666666666664</v>
      </c>
      <c r="Y98" t="str" cm="1">
        <f t="array" ref="Y9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98" s="3">
        <f>Query1[[#This Row],[Final Score]]*5/100</f>
        <v>3.0333333333333332</v>
      </c>
      <c r="AA98" s="4">
        <v>0.85824999999999996</v>
      </c>
      <c r="AB98" s="4"/>
      <c r="AC98" s="5">
        <v>13231</v>
      </c>
      <c r="AD98" s="5">
        <v>1000</v>
      </c>
      <c r="AE98" s="5">
        <f>Query1[[#This Row],[Tuition Fee]]-Query1[[#This Row],[Scholarship Amount]]</f>
        <v>12231</v>
      </c>
      <c r="AF98" t="s">
        <v>31</v>
      </c>
    </row>
    <row r="99" spans="1:32" x14ac:dyDescent="0.35">
      <c r="A99" t="s">
        <v>296</v>
      </c>
      <c r="B99" t="s">
        <v>849</v>
      </c>
      <c r="C99" t="s">
        <v>1186</v>
      </c>
      <c r="D99" t="str">
        <f>LEFT(Query1[[#This Row],[First Name]],1) &amp; "." &amp; Query1[[#This Row],[Last Name]] &amp; "@university.edu"</f>
        <v>J.Symms@university.edu</v>
      </c>
      <c r="E99" t="s">
        <v>43</v>
      </c>
      <c r="F99" s="1">
        <v>36776</v>
      </c>
      <c r="G99" s="2">
        <f ca="1">DATEDIF(Query1[[#This Row],[Date of Birth]],TODAY(),"Y")</f>
        <v>25</v>
      </c>
      <c r="H99" t="s">
        <v>113</v>
      </c>
      <c r="I99">
        <v>2022</v>
      </c>
      <c r="J99" t="s">
        <v>54</v>
      </c>
      <c r="K99" t="s">
        <v>135</v>
      </c>
      <c r="N99" t="s">
        <v>297</v>
      </c>
      <c r="O99" t="s">
        <v>137</v>
      </c>
      <c r="P99">
        <v>3</v>
      </c>
      <c r="Q99" t="s">
        <v>89</v>
      </c>
      <c r="R99" t="s">
        <v>90</v>
      </c>
      <c r="S99" t="s">
        <v>29</v>
      </c>
      <c r="T99" t="s">
        <v>30</v>
      </c>
      <c r="U99">
        <v>82</v>
      </c>
      <c r="V99">
        <v>84</v>
      </c>
      <c r="W99">
        <v>60</v>
      </c>
      <c r="X99" s="2">
        <f>AVERAGE(Query1[[#This Row],[Assignment 1 Score]],Query1[[#This Row],[Assignment 2 Score]],Query1[[#This Row],[Midterm Exam Score]])</f>
        <v>75.333333333333329</v>
      </c>
      <c r="Y99" t="str" cm="1">
        <f t="array" ref="Y9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99" s="3">
        <f>Query1[[#This Row],[Final Score]]*5/100</f>
        <v>3.7666666666666662</v>
      </c>
      <c r="AA99" s="4">
        <v>0.89749999999999996</v>
      </c>
      <c r="AB99" s="4"/>
      <c r="AC99" s="5">
        <v>11254</v>
      </c>
      <c r="AD99" s="5">
        <v>5000</v>
      </c>
      <c r="AE99" s="5">
        <f>Query1[[#This Row],[Tuition Fee]]-Query1[[#This Row],[Scholarship Amount]]</f>
        <v>6254</v>
      </c>
      <c r="AF99" t="s">
        <v>31</v>
      </c>
    </row>
    <row r="100" spans="1:32" x14ac:dyDescent="0.35">
      <c r="A100" t="s">
        <v>298</v>
      </c>
      <c r="B100" t="s">
        <v>850</v>
      </c>
      <c r="C100" t="s">
        <v>1187</v>
      </c>
      <c r="D100" t="str">
        <f>LEFT(Query1[[#This Row],[First Name]],1) &amp; "." &amp; Query1[[#This Row],[Last Name]] &amp; "@university.edu"</f>
        <v>L.Osburn@university.edu</v>
      </c>
      <c r="E100" t="s">
        <v>32</v>
      </c>
      <c r="F100" s="1">
        <v>36786</v>
      </c>
      <c r="G100" s="2">
        <f ca="1">DATEDIF(Query1[[#This Row],[Date of Birth]],TODAY(),"Y")</f>
        <v>25</v>
      </c>
      <c r="H100" t="s">
        <v>119</v>
      </c>
      <c r="I100">
        <v>2023</v>
      </c>
      <c r="J100" t="s">
        <v>63</v>
      </c>
      <c r="K100" t="s">
        <v>98</v>
      </c>
      <c r="N100" t="s">
        <v>299</v>
      </c>
      <c r="O100" t="s">
        <v>100</v>
      </c>
      <c r="P100">
        <v>5</v>
      </c>
      <c r="Q100" t="s">
        <v>38</v>
      </c>
      <c r="R100" t="s">
        <v>39</v>
      </c>
      <c r="S100" t="s">
        <v>40</v>
      </c>
      <c r="T100" t="s">
        <v>69</v>
      </c>
      <c r="U100">
        <v>61</v>
      </c>
      <c r="V100">
        <v>61</v>
      </c>
      <c r="W100">
        <v>41</v>
      </c>
      <c r="X100" s="2">
        <f>AVERAGE(Query1[[#This Row],[Assignment 1 Score]],Query1[[#This Row],[Assignment 2 Score]],Query1[[#This Row],[Midterm Exam Score]])</f>
        <v>54.333333333333336</v>
      </c>
      <c r="Y100" t="str" cm="1">
        <f t="array" ref="Y10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00" s="3">
        <f>Query1[[#This Row],[Final Score]]*5/100</f>
        <v>2.7166666666666668</v>
      </c>
      <c r="AA100" s="4">
        <v>0.59</v>
      </c>
      <c r="AB100" s="4"/>
      <c r="AC100" s="5">
        <v>15277</v>
      </c>
      <c r="AD100" s="5">
        <v>2000</v>
      </c>
      <c r="AE100" s="5">
        <f>Query1[[#This Row],[Tuition Fee]]-Query1[[#This Row],[Scholarship Amount]]</f>
        <v>13277</v>
      </c>
      <c r="AF100" t="s">
        <v>60</v>
      </c>
    </row>
    <row r="101" spans="1:32" x14ac:dyDescent="0.35">
      <c r="A101" t="s">
        <v>300</v>
      </c>
      <c r="B101" t="s">
        <v>851</v>
      </c>
      <c r="C101" t="s">
        <v>1188</v>
      </c>
      <c r="D101" t="str">
        <f>LEFT(Query1[[#This Row],[First Name]],1) &amp; "." &amp; Query1[[#This Row],[Last Name]] &amp; "@university.edu"</f>
        <v>K.Ianinotti@university.edu</v>
      </c>
      <c r="E101" t="s">
        <v>43</v>
      </c>
      <c r="F101" s="1">
        <v>36796</v>
      </c>
      <c r="G101" s="2">
        <f ca="1">DATEDIF(Query1[[#This Row],[Date of Birth]],TODAY(),"Y")</f>
        <v>25</v>
      </c>
      <c r="H101" t="s">
        <v>124</v>
      </c>
      <c r="I101">
        <v>2019</v>
      </c>
      <c r="J101" t="s">
        <v>72</v>
      </c>
      <c r="K101" t="s">
        <v>73</v>
      </c>
      <c r="N101" t="s">
        <v>301</v>
      </c>
      <c r="O101" t="s">
        <v>75</v>
      </c>
      <c r="P101">
        <v>4</v>
      </c>
      <c r="Q101" t="s">
        <v>49</v>
      </c>
      <c r="R101" t="s">
        <v>50</v>
      </c>
      <c r="S101" t="s">
        <v>29</v>
      </c>
      <c r="T101" t="s">
        <v>78</v>
      </c>
      <c r="U101">
        <v>75</v>
      </c>
      <c r="V101">
        <v>81</v>
      </c>
      <c r="W101">
        <v>38</v>
      </c>
      <c r="X101" s="2">
        <f>AVERAGE(Query1[[#This Row],[Assignment 1 Score]],Query1[[#This Row],[Assignment 2 Score]],Query1[[#This Row],[Midterm Exam Score]])</f>
        <v>64.666666666666671</v>
      </c>
      <c r="Y101" t="str" cm="1">
        <f t="array" ref="Y10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101" s="3">
        <f>Query1[[#This Row],[Final Score]]*5/100</f>
        <v>3.2333333333333338</v>
      </c>
      <c r="AA101" s="4">
        <v>0.88549999999999995</v>
      </c>
      <c r="AB101" s="4"/>
      <c r="AC101" s="5">
        <v>12800</v>
      </c>
      <c r="AD101" s="5">
        <v>0</v>
      </c>
      <c r="AE101" s="5">
        <f>Query1[[#This Row],[Tuition Fee]]-Query1[[#This Row],[Scholarship Amount]]</f>
        <v>12800</v>
      </c>
      <c r="AF101" t="s">
        <v>31</v>
      </c>
    </row>
    <row r="102" spans="1:32" x14ac:dyDescent="0.35">
      <c r="A102" t="s">
        <v>302</v>
      </c>
      <c r="B102" t="s">
        <v>852</v>
      </c>
      <c r="C102" t="s">
        <v>1189</v>
      </c>
      <c r="D102" t="str">
        <f>LEFT(Query1[[#This Row],[First Name]],1) &amp; "." &amp; Query1[[#This Row],[Last Name]] &amp; "@university.edu"</f>
        <v>S.Bibb@university.edu</v>
      </c>
      <c r="E102" t="s">
        <v>32</v>
      </c>
      <c r="F102" s="1">
        <v>36806</v>
      </c>
      <c r="G102" s="2">
        <f ca="1">DATEDIF(Query1[[#This Row],[Date of Birth]],TODAY(),"Y")</f>
        <v>25</v>
      </c>
      <c r="H102" t="s">
        <v>127</v>
      </c>
      <c r="I102">
        <v>2020</v>
      </c>
      <c r="J102" t="s">
        <v>34</v>
      </c>
      <c r="K102" t="s">
        <v>35</v>
      </c>
      <c r="N102" t="s">
        <v>303</v>
      </c>
      <c r="O102" t="s">
        <v>37</v>
      </c>
      <c r="P102">
        <v>3</v>
      </c>
      <c r="Q102" t="s">
        <v>58</v>
      </c>
      <c r="R102" t="s">
        <v>59</v>
      </c>
      <c r="S102" t="s">
        <v>40</v>
      </c>
      <c r="T102" t="s">
        <v>41</v>
      </c>
      <c r="U102">
        <v>64</v>
      </c>
      <c r="V102">
        <v>66</v>
      </c>
      <c r="W102">
        <v>59</v>
      </c>
      <c r="X102" s="2">
        <f>AVERAGE(Query1[[#This Row],[Assignment 1 Score]],Query1[[#This Row],[Assignment 2 Score]],Query1[[#This Row],[Midterm Exam Score]])</f>
        <v>63</v>
      </c>
      <c r="Y102" t="str" cm="1">
        <f t="array" ref="Y10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102" s="3">
        <f>Query1[[#This Row],[Final Score]]*5/100</f>
        <v>3.15</v>
      </c>
      <c r="AA102" s="4">
        <v>0.86099999999999999</v>
      </c>
      <c r="AB102" s="4"/>
      <c r="AC102" s="5">
        <v>12323</v>
      </c>
      <c r="AD102" s="5">
        <v>1000</v>
      </c>
      <c r="AE102" s="5">
        <f>Query1[[#This Row],[Tuition Fee]]-Query1[[#This Row],[Scholarship Amount]]</f>
        <v>11323</v>
      </c>
      <c r="AF102" t="s">
        <v>31</v>
      </c>
    </row>
    <row r="103" spans="1:32" x14ac:dyDescent="0.35">
      <c r="A103" t="s">
        <v>304</v>
      </c>
      <c r="B103" t="s">
        <v>853</v>
      </c>
      <c r="C103" t="s">
        <v>1190</v>
      </c>
      <c r="D103" t="str">
        <f>LEFT(Query1[[#This Row],[First Name]],1) &amp; "." &amp; Query1[[#This Row],[Last Name]] &amp; "@university.edu"</f>
        <v>S.Dunlop@university.edu</v>
      </c>
      <c r="E103" t="s">
        <v>43</v>
      </c>
      <c r="F103" s="1">
        <v>36816</v>
      </c>
      <c r="G103" s="2">
        <f ca="1">DATEDIF(Query1[[#This Row],[Date of Birth]],TODAY(),"Y")</f>
        <v>25</v>
      </c>
      <c r="H103" t="s">
        <v>130</v>
      </c>
      <c r="I103">
        <v>2021</v>
      </c>
      <c r="J103" t="s">
        <v>45</v>
      </c>
      <c r="K103" t="s">
        <v>46</v>
      </c>
      <c r="N103" t="s">
        <v>305</v>
      </c>
      <c r="O103" t="s">
        <v>48</v>
      </c>
      <c r="P103">
        <v>3</v>
      </c>
      <c r="Q103" t="s">
        <v>67</v>
      </c>
      <c r="R103" t="s">
        <v>68</v>
      </c>
      <c r="S103" t="s">
        <v>29</v>
      </c>
      <c r="T103" t="s">
        <v>51</v>
      </c>
      <c r="U103">
        <v>78</v>
      </c>
      <c r="V103">
        <v>78</v>
      </c>
      <c r="W103">
        <v>40</v>
      </c>
      <c r="X103" s="2">
        <f>AVERAGE(Query1[[#This Row],[Assignment 1 Score]],Query1[[#This Row],[Assignment 2 Score]],Query1[[#This Row],[Midterm Exam Score]])</f>
        <v>65.333333333333329</v>
      </c>
      <c r="Y103" t="str" cm="1">
        <f t="array" ref="Y10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103" s="3">
        <f>Query1[[#This Row],[Final Score]]*5/100</f>
        <v>3.2666666666666662</v>
      </c>
      <c r="AA103" s="4">
        <v>0.90925</v>
      </c>
      <c r="AB103" s="4"/>
      <c r="AC103" s="5">
        <v>13346</v>
      </c>
      <c r="AD103" s="5">
        <v>2000</v>
      </c>
      <c r="AE103" s="5">
        <f>Query1[[#This Row],[Tuition Fee]]-Query1[[#This Row],[Scholarship Amount]]</f>
        <v>11346</v>
      </c>
      <c r="AF103" t="s">
        <v>60</v>
      </c>
    </row>
    <row r="104" spans="1:32" x14ac:dyDescent="0.35">
      <c r="A104" t="s">
        <v>306</v>
      </c>
      <c r="B104" t="s">
        <v>854</v>
      </c>
      <c r="C104" t="s">
        <v>1191</v>
      </c>
      <c r="D104" t="str">
        <f>LEFT(Query1[[#This Row],[First Name]],1) &amp; "." &amp; Query1[[#This Row],[Last Name]] &amp; "@university.edu"</f>
        <v>M.Lovart@university.edu</v>
      </c>
      <c r="E104" t="s">
        <v>32</v>
      </c>
      <c r="F104" s="1">
        <v>36826</v>
      </c>
      <c r="G104" s="2">
        <f ca="1">DATEDIF(Query1[[#This Row],[Date of Birth]],TODAY(),"Y")</f>
        <v>25</v>
      </c>
      <c r="H104" t="s">
        <v>33</v>
      </c>
      <c r="I104">
        <v>2022</v>
      </c>
      <c r="J104" t="s">
        <v>54</v>
      </c>
      <c r="K104" t="s">
        <v>55</v>
      </c>
      <c r="N104" t="s">
        <v>307</v>
      </c>
      <c r="O104" t="s">
        <v>57</v>
      </c>
      <c r="P104">
        <v>3</v>
      </c>
      <c r="Q104" t="s">
        <v>76</v>
      </c>
      <c r="R104" t="s">
        <v>77</v>
      </c>
      <c r="S104" t="s">
        <v>40</v>
      </c>
      <c r="T104" t="s">
        <v>30</v>
      </c>
      <c r="U104">
        <v>57</v>
      </c>
      <c r="V104">
        <v>63</v>
      </c>
      <c r="W104">
        <v>34</v>
      </c>
      <c r="X104" s="2">
        <f>AVERAGE(Query1[[#This Row],[Assignment 1 Score]],Query1[[#This Row],[Assignment 2 Score]],Query1[[#This Row],[Midterm Exam Score]])</f>
        <v>51.333333333333336</v>
      </c>
      <c r="Y104" t="str" cm="1">
        <f t="array" ref="Y10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04" s="3">
        <f>Query1[[#This Row],[Final Score]]*5/100</f>
        <v>2.5666666666666669</v>
      </c>
      <c r="AA104" s="4">
        <v>0.86099999999999999</v>
      </c>
      <c r="AB104" s="4"/>
      <c r="AC104" s="5">
        <v>11369</v>
      </c>
      <c r="AD104" s="5">
        <v>1000</v>
      </c>
      <c r="AE104" s="5">
        <f>Query1[[#This Row],[Tuition Fee]]-Query1[[#This Row],[Scholarship Amount]]</f>
        <v>10369</v>
      </c>
      <c r="AF104" t="s">
        <v>31</v>
      </c>
    </row>
    <row r="105" spans="1:32" x14ac:dyDescent="0.35">
      <c r="A105" t="s">
        <v>308</v>
      </c>
      <c r="B105" t="s">
        <v>855</v>
      </c>
      <c r="C105" t="s">
        <v>1192</v>
      </c>
      <c r="D105" t="str">
        <f>LEFT(Query1[[#This Row],[First Name]],1) &amp; "." &amp; Query1[[#This Row],[Last Name]] &amp; "@university.edu"</f>
        <v>H.Annakin@university.edu</v>
      </c>
      <c r="E105" t="s">
        <v>43</v>
      </c>
      <c r="F105" s="1">
        <v>36836</v>
      </c>
      <c r="G105" s="2">
        <f ca="1">DATEDIF(Query1[[#This Row],[Date of Birth]],TODAY(),"Y")</f>
        <v>25</v>
      </c>
      <c r="H105" t="s">
        <v>44</v>
      </c>
      <c r="I105">
        <v>2023</v>
      </c>
      <c r="J105" t="s">
        <v>63</v>
      </c>
      <c r="K105" t="s">
        <v>120</v>
      </c>
      <c r="N105" t="s">
        <v>309</v>
      </c>
      <c r="O105" t="s">
        <v>122</v>
      </c>
      <c r="P105">
        <v>5</v>
      </c>
      <c r="Q105" t="s">
        <v>82</v>
      </c>
      <c r="R105" t="s">
        <v>83</v>
      </c>
      <c r="S105" t="s">
        <v>29</v>
      </c>
      <c r="T105" t="s">
        <v>69</v>
      </c>
      <c r="U105">
        <v>81</v>
      </c>
      <c r="V105">
        <v>75</v>
      </c>
      <c r="W105">
        <v>56</v>
      </c>
      <c r="X105" s="2">
        <f>AVERAGE(Query1[[#This Row],[Assignment 1 Score]],Query1[[#This Row],[Assignment 2 Score]],Query1[[#This Row],[Midterm Exam Score]])</f>
        <v>70.666666666666671</v>
      </c>
      <c r="Y105" t="str" cm="1">
        <f t="array" ref="Y10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05" s="3">
        <f>Query1[[#This Row],[Final Score]]*5/100</f>
        <v>3.5333333333333337</v>
      </c>
      <c r="AA105" s="4">
        <v>0.90100000000000002</v>
      </c>
      <c r="AB105" s="4"/>
      <c r="AC105" s="5">
        <v>15392</v>
      </c>
      <c r="AD105" s="5">
        <v>0</v>
      </c>
      <c r="AE105" s="5">
        <f>Query1[[#This Row],[Tuition Fee]]-Query1[[#This Row],[Scholarship Amount]]</f>
        <v>15392</v>
      </c>
      <c r="AF105" t="s">
        <v>31</v>
      </c>
    </row>
    <row r="106" spans="1:32" x14ac:dyDescent="0.35">
      <c r="A106" t="s">
        <v>310</v>
      </c>
      <c r="B106" t="s">
        <v>856</v>
      </c>
      <c r="C106" t="s">
        <v>1193</v>
      </c>
      <c r="D106" t="str">
        <f>LEFT(Query1[[#This Row],[First Name]],1) &amp; "." &amp; Query1[[#This Row],[Last Name]] &amp; "@university.edu"</f>
        <v>M.Swansbury@university.edu</v>
      </c>
      <c r="E106" t="s">
        <v>32</v>
      </c>
      <c r="F106" s="1">
        <v>36846</v>
      </c>
      <c r="G106" s="2">
        <f ca="1">DATEDIF(Query1[[#This Row],[Date of Birth]],TODAY(),"Y")</f>
        <v>25</v>
      </c>
      <c r="H106" t="s">
        <v>53</v>
      </c>
      <c r="I106">
        <v>2019</v>
      </c>
      <c r="J106" t="s">
        <v>72</v>
      </c>
      <c r="K106" t="s">
        <v>73</v>
      </c>
      <c r="N106" t="s">
        <v>311</v>
      </c>
      <c r="O106" t="s">
        <v>75</v>
      </c>
      <c r="P106">
        <v>4</v>
      </c>
      <c r="Q106" t="s">
        <v>89</v>
      </c>
      <c r="R106" t="s">
        <v>90</v>
      </c>
      <c r="S106" t="s">
        <v>40</v>
      </c>
      <c r="T106" t="s">
        <v>78</v>
      </c>
      <c r="U106">
        <v>60</v>
      </c>
      <c r="V106">
        <v>60</v>
      </c>
      <c r="W106">
        <v>32</v>
      </c>
      <c r="X106" s="2">
        <f>AVERAGE(Query1[[#This Row],[Assignment 1 Score]],Query1[[#This Row],[Assignment 2 Score]],Query1[[#This Row],[Midterm Exam Score]])</f>
        <v>50.666666666666664</v>
      </c>
      <c r="Y106" t="str" cm="1">
        <f t="array" ref="Y10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06" s="3">
        <f>Query1[[#This Row],[Final Score]]*5/100</f>
        <v>2.5333333333333332</v>
      </c>
      <c r="AA106" s="4">
        <v>0.8527499999999999</v>
      </c>
      <c r="AB106" s="4"/>
      <c r="AC106" s="5">
        <v>12915</v>
      </c>
      <c r="AD106" s="5">
        <v>5000</v>
      </c>
      <c r="AE106" s="5">
        <f>Query1[[#This Row],[Tuition Fee]]-Query1[[#This Row],[Scholarship Amount]]</f>
        <v>7915</v>
      </c>
      <c r="AF106" t="s">
        <v>60</v>
      </c>
    </row>
    <row r="107" spans="1:32" x14ac:dyDescent="0.35">
      <c r="A107" t="s">
        <v>312</v>
      </c>
      <c r="B107" t="s">
        <v>857</v>
      </c>
      <c r="C107" t="s">
        <v>1194</v>
      </c>
      <c r="D107" t="str">
        <f>LEFT(Query1[[#This Row],[First Name]],1) &amp; "." &amp; Query1[[#This Row],[Last Name]] &amp; "@university.edu"</f>
        <v>D.Scrine@university.edu</v>
      </c>
      <c r="E107" t="s">
        <v>43</v>
      </c>
      <c r="F107" s="1">
        <v>36856</v>
      </c>
      <c r="G107" s="2">
        <f ca="1">DATEDIF(Query1[[#This Row],[Date of Birth]],TODAY(),"Y")</f>
        <v>24</v>
      </c>
      <c r="H107" t="s">
        <v>62</v>
      </c>
      <c r="I107">
        <v>2020</v>
      </c>
      <c r="J107" t="s">
        <v>34</v>
      </c>
      <c r="K107" t="s">
        <v>35</v>
      </c>
      <c r="N107" t="s">
        <v>313</v>
      </c>
      <c r="O107" t="s">
        <v>37</v>
      </c>
      <c r="P107">
        <v>3</v>
      </c>
      <c r="Q107" t="s">
        <v>38</v>
      </c>
      <c r="R107" t="s">
        <v>39</v>
      </c>
      <c r="S107" t="s">
        <v>29</v>
      </c>
      <c r="T107" t="s">
        <v>41</v>
      </c>
      <c r="U107">
        <v>74</v>
      </c>
      <c r="V107">
        <v>80</v>
      </c>
      <c r="W107">
        <v>44</v>
      </c>
      <c r="X107" s="2">
        <f>AVERAGE(Query1[[#This Row],[Assignment 1 Score]],Query1[[#This Row],[Assignment 2 Score]],Query1[[#This Row],[Midterm Exam Score]])</f>
        <v>66</v>
      </c>
      <c r="Y107" t="str" cm="1">
        <f t="array" ref="Y10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07" s="3">
        <f>Query1[[#This Row],[Final Score]]*5/100</f>
        <v>3.3</v>
      </c>
      <c r="AA107" s="4">
        <v>0.89200000000000002</v>
      </c>
      <c r="AB107" s="4"/>
      <c r="AC107" s="5">
        <v>12438</v>
      </c>
      <c r="AD107" s="5">
        <v>1000</v>
      </c>
      <c r="AE107" s="5">
        <f>Query1[[#This Row],[Tuition Fee]]-Query1[[#This Row],[Scholarship Amount]]</f>
        <v>11438</v>
      </c>
      <c r="AF107" t="s">
        <v>31</v>
      </c>
    </row>
    <row r="108" spans="1:32" x14ac:dyDescent="0.35">
      <c r="A108" t="s">
        <v>314</v>
      </c>
      <c r="B108" t="s">
        <v>858</v>
      </c>
      <c r="C108" t="s">
        <v>1195</v>
      </c>
      <c r="D108" t="str">
        <f>LEFT(Query1[[#This Row],[First Name]],1) &amp; "." &amp; Query1[[#This Row],[Last Name]] &amp; "@university.edu"</f>
        <v>D.Woodbridge@university.edu</v>
      </c>
      <c r="E108" t="s">
        <v>32</v>
      </c>
      <c r="F108" s="1">
        <v>36866</v>
      </c>
      <c r="G108" s="2">
        <f ca="1">DATEDIF(Query1[[#This Row],[Date of Birth]],TODAY(),"Y")</f>
        <v>24</v>
      </c>
      <c r="H108" t="s">
        <v>71</v>
      </c>
      <c r="I108">
        <v>2021</v>
      </c>
      <c r="J108" t="s">
        <v>45</v>
      </c>
      <c r="K108" t="s">
        <v>86</v>
      </c>
      <c r="N108" t="s">
        <v>315</v>
      </c>
      <c r="O108" t="s">
        <v>88</v>
      </c>
      <c r="P108">
        <v>3</v>
      </c>
      <c r="Q108" t="s">
        <v>49</v>
      </c>
      <c r="R108" t="s">
        <v>50</v>
      </c>
      <c r="S108" t="s">
        <v>40</v>
      </c>
      <c r="T108" t="s">
        <v>51</v>
      </c>
      <c r="U108">
        <v>98</v>
      </c>
      <c r="V108">
        <v>92</v>
      </c>
      <c r="W108">
        <v>70</v>
      </c>
      <c r="X108" s="2">
        <f>AVERAGE(Query1[[#This Row],[Assignment 1 Score]],Query1[[#This Row],[Assignment 2 Score]],Query1[[#This Row],[Midterm Exam Score]])</f>
        <v>86.666666666666671</v>
      </c>
      <c r="Y108" t="str" cm="1">
        <f t="array" ref="Y10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108" s="3">
        <f>Query1[[#This Row],[Final Score]]*5/100</f>
        <v>4.3333333333333339</v>
      </c>
      <c r="AA108" s="4">
        <v>0.94399999999999995</v>
      </c>
      <c r="AB108" s="4"/>
      <c r="AC108" s="5">
        <v>13461</v>
      </c>
      <c r="AD108" s="5">
        <v>1000</v>
      </c>
      <c r="AE108" s="5">
        <f>Query1[[#This Row],[Tuition Fee]]-Query1[[#This Row],[Scholarship Amount]]</f>
        <v>12461</v>
      </c>
      <c r="AF108" t="s">
        <v>31</v>
      </c>
    </row>
    <row r="109" spans="1:32" x14ac:dyDescent="0.35">
      <c r="A109" t="s">
        <v>316</v>
      </c>
      <c r="B109" t="s">
        <v>859</v>
      </c>
      <c r="C109" t="s">
        <v>1196</v>
      </c>
      <c r="D109" t="str">
        <f>LEFT(Query1[[#This Row],[First Name]],1) &amp; "." &amp; Query1[[#This Row],[Last Name]] &amp; "@university.edu"</f>
        <v>M.Dash@university.edu</v>
      </c>
      <c r="E109" t="s">
        <v>43</v>
      </c>
      <c r="F109" s="1">
        <v>36876</v>
      </c>
      <c r="G109" s="2">
        <f ca="1">DATEDIF(Query1[[#This Row],[Date of Birth]],TODAY(),"Y")</f>
        <v>24</v>
      </c>
      <c r="H109" t="s">
        <v>80</v>
      </c>
      <c r="I109">
        <v>2022</v>
      </c>
      <c r="J109" t="s">
        <v>54</v>
      </c>
      <c r="K109" t="s">
        <v>93</v>
      </c>
      <c r="N109" t="s">
        <v>317</v>
      </c>
      <c r="O109" t="s">
        <v>95</v>
      </c>
      <c r="P109">
        <v>3</v>
      </c>
      <c r="Q109" t="s">
        <v>58</v>
      </c>
      <c r="R109" t="s">
        <v>59</v>
      </c>
      <c r="S109" t="s">
        <v>29</v>
      </c>
      <c r="T109" t="s">
        <v>30</v>
      </c>
      <c r="U109">
        <v>77</v>
      </c>
      <c r="V109">
        <v>77</v>
      </c>
      <c r="W109">
        <v>80</v>
      </c>
      <c r="X109" s="2">
        <f>AVERAGE(Query1[[#This Row],[Assignment 1 Score]],Query1[[#This Row],[Assignment 2 Score]],Query1[[#This Row],[Midterm Exam Score]])</f>
        <v>78</v>
      </c>
      <c r="Y109" t="str" cm="1">
        <f t="array" ref="Y10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109" s="3">
        <f>Query1[[#This Row],[Final Score]]*5/100</f>
        <v>3.9</v>
      </c>
      <c r="AA109" s="4">
        <v>0.89574999999999994</v>
      </c>
      <c r="AB109" s="4"/>
      <c r="AC109" s="5">
        <v>11484</v>
      </c>
      <c r="AD109" s="5">
        <v>0</v>
      </c>
      <c r="AE109" s="5">
        <f>Query1[[#This Row],[Tuition Fee]]-Query1[[#This Row],[Scholarship Amount]]</f>
        <v>11484</v>
      </c>
      <c r="AF109" t="s">
        <v>60</v>
      </c>
    </row>
    <row r="110" spans="1:32" x14ac:dyDescent="0.35">
      <c r="A110" t="s">
        <v>318</v>
      </c>
      <c r="B110" t="s">
        <v>860</v>
      </c>
      <c r="C110" t="s">
        <v>1197</v>
      </c>
      <c r="D110" t="str">
        <f>LEFT(Query1[[#This Row],[First Name]],1) &amp; "." &amp; Query1[[#This Row],[Last Name]] &amp; "@university.edu"</f>
        <v>A.Jorge@university.edu</v>
      </c>
      <c r="E110" t="s">
        <v>32</v>
      </c>
      <c r="F110" s="1">
        <v>36886</v>
      </c>
      <c r="G110" s="2">
        <f ca="1">DATEDIF(Query1[[#This Row],[Date of Birth]],TODAY(),"Y")</f>
        <v>24</v>
      </c>
      <c r="H110" t="s">
        <v>85</v>
      </c>
      <c r="I110">
        <v>2023</v>
      </c>
      <c r="J110" t="s">
        <v>63</v>
      </c>
      <c r="K110" t="s">
        <v>64</v>
      </c>
      <c r="N110" t="s">
        <v>319</v>
      </c>
      <c r="O110" t="s">
        <v>66</v>
      </c>
      <c r="P110">
        <v>5</v>
      </c>
      <c r="Q110" t="s">
        <v>67</v>
      </c>
      <c r="R110" t="s">
        <v>68</v>
      </c>
      <c r="S110" t="s">
        <v>40</v>
      </c>
      <c r="T110" t="s">
        <v>69</v>
      </c>
      <c r="U110">
        <v>91</v>
      </c>
      <c r="V110">
        <v>97</v>
      </c>
      <c r="W110">
        <v>45</v>
      </c>
      <c r="X110" s="2">
        <f>AVERAGE(Query1[[#This Row],[Assignment 1 Score]],Query1[[#This Row],[Assignment 2 Score]],Query1[[#This Row],[Midterm Exam Score]])</f>
        <v>77.666666666666671</v>
      </c>
      <c r="Y110" t="str" cm="1">
        <f t="array" ref="Y11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110" s="3">
        <f>Query1[[#This Row],[Final Score]]*5/100</f>
        <v>3.8833333333333337</v>
      </c>
      <c r="AA110" s="4">
        <v>0.93499999999999994</v>
      </c>
      <c r="AB110" s="4"/>
      <c r="AC110" s="5">
        <v>15007</v>
      </c>
      <c r="AD110" s="5">
        <v>1000</v>
      </c>
      <c r="AE110" s="5">
        <f>Query1[[#This Row],[Tuition Fee]]-Query1[[#This Row],[Scholarship Amount]]</f>
        <v>14007</v>
      </c>
      <c r="AF110" t="s">
        <v>31</v>
      </c>
    </row>
    <row r="111" spans="1:32" x14ac:dyDescent="0.35">
      <c r="A111" t="s">
        <v>320</v>
      </c>
      <c r="B111" t="s">
        <v>861</v>
      </c>
      <c r="C111" t="s">
        <v>1198</v>
      </c>
      <c r="D111" t="str">
        <f>LEFT(Query1[[#This Row],[First Name]],1) &amp; "." &amp; Query1[[#This Row],[Last Name]] &amp; "@university.edu"</f>
        <v>F.Scotson@university.edu</v>
      </c>
      <c r="E111" t="s">
        <v>43</v>
      </c>
      <c r="F111" s="1">
        <v>36896</v>
      </c>
      <c r="G111" s="2">
        <f ca="1">DATEDIF(Query1[[#This Row],[Date of Birth]],TODAY(),"Y")</f>
        <v>24</v>
      </c>
      <c r="H111" t="s">
        <v>92</v>
      </c>
      <c r="I111">
        <v>2019</v>
      </c>
      <c r="J111" t="s">
        <v>72</v>
      </c>
      <c r="K111" t="s">
        <v>73</v>
      </c>
      <c r="N111" t="s">
        <v>321</v>
      </c>
      <c r="O111" t="s">
        <v>75</v>
      </c>
      <c r="P111">
        <v>4</v>
      </c>
      <c r="Q111" t="s">
        <v>76</v>
      </c>
      <c r="R111" t="s">
        <v>77</v>
      </c>
      <c r="S111" t="s">
        <v>29</v>
      </c>
      <c r="T111" t="s">
        <v>78</v>
      </c>
      <c r="U111">
        <v>70</v>
      </c>
      <c r="V111">
        <v>74</v>
      </c>
      <c r="W111">
        <v>34</v>
      </c>
      <c r="X111" s="2">
        <f>AVERAGE(Query1[[#This Row],[Assignment 1 Score]],Query1[[#This Row],[Assignment 2 Score]],Query1[[#This Row],[Midterm Exam Score]])</f>
        <v>59.333333333333336</v>
      </c>
      <c r="Y111" t="str" cm="1">
        <f t="array" ref="Y11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11" s="3">
        <f>Query1[[#This Row],[Final Score]]*5/100</f>
        <v>2.9666666666666668</v>
      </c>
      <c r="AA111" s="4">
        <v>0.88374999999999992</v>
      </c>
      <c r="AB111" s="4"/>
      <c r="AC111" s="5">
        <v>12530</v>
      </c>
      <c r="AD111" s="5">
        <v>1000</v>
      </c>
      <c r="AE111" s="5">
        <f>Query1[[#This Row],[Tuition Fee]]-Query1[[#This Row],[Scholarship Amount]]</f>
        <v>11530</v>
      </c>
      <c r="AF111" t="s">
        <v>31</v>
      </c>
    </row>
    <row r="112" spans="1:32" x14ac:dyDescent="0.35">
      <c r="A112" t="s">
        <v>322</v>
      </c>
      <c r="B112" t="s">
        <v>862</v>
      </c>
      <c r="C112" t="s">
        <v>1199</v>
      </c>
      <c r="D112" t="str">
        <f>LEFT(Query1[[#This Row],[First Name]],1) &amp; "." &amp; Query1[[#This Row],[Last Name]] &amp; "@university.edu"</f>
        <v>T.Adamowicz@university.edu</v>
      </c>
      <c r="E112" t="s">
        <v>32</v>
      </c>
      <c r="F112" s="1">
        <v>36906</v>
      </c>
      <c r="G112" s="2">
        <f ca="1">DATEDIF(Query1[[#This Row],[Date of Birth]],TODAY(),"Y")</f>
        <v>24</v>
      </c>
      <c r="H112" t="s">
        <v>97</v>
      </c>
      <c r="I112">
        <v>2020</v>
      </c>
      <c r="J112" t="s">
        <v>34</v>
      </c>
      <c r="K112" t="s">
        <v>35</v>
      </c>
      <c r="N112" t="s">
        <v>323</v>
      </c>
      <c r="O112" t="s">
        <v>37</v>
      </c>
      <c r="P112">
        <v>3</v>
      </c>
      <c r="Q112" t="s">
        <v>82</v>
      </c>
      <c r="R112" t="s">
        <v>83</v>
      </c>
      <c r="S112" t="s">
        <v>40</v>
      </c>
      <c r="T112" t="s">
        <v>41</v>
      </c>
      <c r="U112">
        <v>94</v>
      </c>
      <c r="V112">
        <v>94</v>
      </c>
      <c r="W112">
        <v>33</v>
      </c>
      <c r="X112" s="2">
        <f>AVERAGE(Query1[[#This Row],[Assignment 1 Score]],Query1[[#This Row],[Assignment 2 Score]],Query1[[#This Row],[Midterm Exam Score]])</f>
        <v>73.666666666666671</v>
      </c>
      <c r="Y112" t="str" cm="1">
        <f t="array" ref="Y11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12" s="3">
        <f>Query1[[#This Row],[Final Score]]*5/100</f>
        <v>3.6833333333333336</v>
      </c>
      <c r="AA112" s="4">
        <v>0.92674999999999996</v>
      </c>
      <c r="AB112" s="4"/>
      <c r="AC112" s="5">
        <v>12053</v>
      </c>
      <c r="AD112" s="5">
        <v>2000</v>
      </c>
      <c r="AE112" s="5">
        <f>Query1[[#This Row],[Tuition Fee]]-Query1[[#This Row],[Scholarship Amount]]</f>
        <v>10053</v>
      </c>
      <c r="AF112" t="s">
        <v>60</v>
      </c>
    </row>
    <row r="113" spans="1:32" x14ac:dyDescent="0.35">
      <c r="A113" t="s">
        <v>324</v>
      </c>
      <c r="B113" t="s">
        <v>863</v>
      </c>
      <c r="C113" t="s">
        <v>1200</v>
      </c>
      <c r="D113" t="str">
        <f>LEFT(Query1[[#This Row],[First Name]],1) &amp; "." &amp; Query1[[#This Row],[Last Name]] &amp; "@university.edu"</f>
        <v>G.Pley@university.edu</v>
      </c>
      <c r="E113" t="s">
        <v>43</v>
      </c>
      <c r="F113" s="1">
        <v>36916</v>
      </c>
      <c r="G113" s="2">
        <f ca="1">DATEDIF(Query1[[#This Row],[Date of Birth]],TODAY(),"Y")</f>
        <v>24</v>
      </c>
      <c r="H113" t="s">
        <v>102</v>
      </c>
      <c r="I113">
        <v>2021</v>
      </c>
      <c r="J113" t="s">
        <v>45</v>
      </c>
      <c r="K113" t="s">
        <v>109</v>
      </c>
      <c r="N113" t="s">
        <v>325</v>
      </c>
      <c r="O113" t="s">
        <v>111</v>
      </c>
      <c r="P113">
        <v>3</v>
      </c>
      <c r="Q113" t="s">
        <v>89</v>
      </c>
      <c r="R113" t="s">
        <v>90</v>
      </c>
      <c r="S113" t="s">
        <v>29</v>
      </c>
      <c r="T113" t="s">
        <v>51</v>
      </c>
      <c r="U113">
        <v>73</v>
      </c>
      <c r="V113">
        <v>71</v>
      </c>
      <c r="W113">
        <v>31</v>
      </c>
      <c r="X113" s="2">
        <f>AVERAGE(Query1[[#This Row],[Assignment 1 Score]],Query1[[#This Row],[Assignment 2 Score]],Query1[[#This Row],[Midterm Exam Score]])</f>
        <v>58.333333333333336</v>
      </c>
      <c r="Y113" t="str" cm="1">
        <f t="array" ref="Y11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13" s="3">
        <f>Query1[[#This Row],[Final Score]]*5/100</f>
        <v>2.916666666666667</v>
      </c>
      <c r="AA113" s="4">
        <v>0.87549999999999994</v>
      </c>
      <c r="AB113" s="4"/>
      <c r="AC113" s="5">
        <v>13076</v>
      </c>
      <c r="AD113" s="5">
        <v>0</v>
      </c>
      <c r="AE113" s="5">
        <f>Query1[[#This Row],[Tuition Fee]]-Query1[[#This Row],[Scholarship Amount]]</f>
        <v>13076</v>
      </c>
      <c r="AF113" t="s">
        <v>31</v>
      </c>
    </row>
    <row r="114" spans="1:32" x14ac:dyDescent="0.35">
      <c r="A114" t="s">
        <v>326</v>
      </c>
      <c r="B114" t="s">
        <v>864</v>
      </c>
      <c r="C114" t="s">
        <v>1201</v>
      </c>
      <c r="D114" t="str">
        <f>LEFT(Query1[[#This Row],[First Name]],1) &amp; "." &amp; Query1[[#This Row],[Last Name]] &amp; "@university.edu"</f>
        <v>L.Shergold@university.edu</v>
      </c>
      <c r="E114" t="s">
        <v>32</v>
      </c>
      <c r="F114" s="1">
        <v>36926</v>
      </c>
      <c r="G114" s="2">
        <f ca="1">DATEDIF(Query1[[#This Row],[Date of Birth]],TODAY(),"Y")</f>
        <v>24</v>
      </c>
      <c r="H114" t="s">
        <v>105</v>
      </c>
      <c r="I114">
        <v>2022</v>
      </c>
      <c r="J114" t="s">
        <v>54</v>
      </c>
      <c r="K114" t="s">
        <v>114</v>
      </c>
      <c r="N114" t="s">
        <v>327</v>
      </c>
      <c r="O114" t="s">
        <v>116</v>
      </c>
      <c r="P114">
        <v>3</v>
      </c>
      <c r="Q114" t="s">
        <v>38</v>
      </c>
      <c r="R114" t="s">
        <v>39</v>
      </c>
      <c r="S114" t="s">
        <v>40</v>
      </c>
      <c r="T114" t="s">
        <v>30</v>
      </c>
      <c r="U114">
        <v>87</v>
      </c>
      <c r="V114">
        <v>91</v>
      </c>
      <c r="W114">
        <v>36</v>
      </c>
      <c r="X114" s="2">
        <f>AVERAGE(Query1[[#This Row],[Assignment 1 Score]],Query1[[#This Row],[Assignment 2 Score]],Query1[[#This Row],[Midterm Exam Score]])</f>
        <v>71.333333333333329</v>
      </c>
      <c r="Y114" t="str" cm="1">
        <f t="array" ref="Y11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14" s="3">
        <f>Query1[[#This Row],[Final Score]]*5/100</f>
        <v>3.5666666666666664</v>
      </c>
      <c r="AA114" s="4">
        <v>0.92674999999999996</v>
      </c>
      <c r="AB114" s="4"/>
      <c r="AC114" s="5">
        <v>11099</v>
      </c>
      <c r="AD114" s="5">
        <v>1000</v>
      </c>
      <c r="AE114" s="5">
        <f>Query1[[#This Row],[Tuition Fee]]-Query1[[#This Row],[Scholarship Amount]]</f>
        <v>10099</v>
      </c>
      <c r="AF114" t="s">
        <v>31</v>
      </c>
    </row>
    <row r="115" spans="1:32" x14ac:dyDescent="0.35">
      <c r="A115" t="s">
        <v>328</v>
      </c>
      <c r="B115" t="s">
        <v>865</v>
      </c>
      <c r="C115" t="s">
        <v>1202</v>
      </c>
      <c r="D115" t="str">
        <f>LEFT(Query1[[#This Row],[First Name]],1) &amp; "." &amp; Query1[[#This Row],[Last Name]] &amp; "@university.edu"</f>
        <v>E.Grzelczyk@university.edu</v>
      </c>
      <c r="E115" t="s">
        <v>43</v>
      </c>
      <c r="F115" s="1">
        <v>36936</v>
      </c>
      <c r="G115" s="2">
        <f ca="1">DATEDIF(Query1[[#This Row],[Date of Birth]],TODAY(),"Y")</f>
        <v>24</v>
      </c>
      <c r="H115" t="s">
        <v>108</v>
      </c>
      <c r="I115">
        <v>2023</v>
      </c>
      <c r="J115" t="s">
        <v>63</v>
      </c>
      <c r="K115" t="s">
        <v>98</v>
      </c>
      <c r="N115" t="s">
        <v>329</v>
      </c>
      <c r="O115" t="s">
        <v>100</v>
      </c>
      <c r="P115">
        <v>5</v>
      </c>
      <c r="Q115" t="s">
        <v>49</v>
      </c>
      <c r="R115" t="s">
        <v>50</v>
      </c>
      <c r="S115" t="s">
        <v>29</v>
      </c>
      <c r="T115" t="s">
        <v>69</v>
      </c>
      <c r="U115">
        <v>76</v>
      </c>
      <c r="V115">
        <v>76</v>
      </c>
      <c r="W115">
        <v>76</v>
      </c>
      <c r="X115" s="2">
        <f>AVERAGE(Query1[[#This Row],[Assignment 1 Score]],Query1[[#This Row],[Assignment 2 Score]],Query1[[#This Row],[Midterm Exam Score]])</f>
        <v>76</v>
      </c>
      <c r="Y115" t="str" cm="1">
        <f t="array" ref="Y11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115" s="3">
        <f>Query1[[#This Row],[Final Score]]*5/100</f>
        <v>3.8</v>
      </c>
      <c r="AA115" s="4">
        <v>0.88224999999999998</v>
      </c>
      <c r="AB115" s="4"/>
      <c r="AC115" s="5">
        <v>15122</v>
      </c>
      <c r="AD115" s="5">
        <v>2000</v>
      </c>
      <c r="AE115" s="5">
        <f>Query1[[#This Row],[Tuition Fee]]-Query1[[#This Row],[Scholarship Amount]]</f>
        <v>13122</v>
      </c>
      <c r="AF115" t="s">
        <v>60</v>
      </c>
    </row>
    <row r="116" spans="1:32" x14ac:dyDescent="0.35">
      <c r="A116" t="s">
        <v>330</v>
      </c>
      <c r="B116" t="s">
        <v>866</v>
      </c>
      <c r="C116" t="s">
        <v>1203</v>
      </c>
      <c r="D116" t="str">
        <f>LEFT(Query1[[#This Row],[First Name]],1) &amp; "." &amp; Query1[[#This Row],[Last Name]] &amp; "@university.edu"</f>
        <v>D.Poznan@university.edu</v>
      </c>
      <c r="E116" t="s">
        <v>32</v>
      </c>
      <c r="F116" s="1">
        <v>36946</v>
      </c>
      <c r="G116" s="2">
        <f ca="1">DATEDIF(Query1[[#This Row],[Date of Birth]],TODAY(),"Y")</f>
        <v>24</v>
      </c>
      <c r="H116" t="s">
        <v>113</v>
      </c>
      <c r="I116">
        <v>2019</v>
      </c>
      <c r="J116" t="s">
        <v>72</v>
      </c>
      <c r="K116" t="s">
        <v>73</v>
      </c>
      <c r="N116" t="s">
        <v>331</v>
      </c>
      <c r="O116" t="s">
        <v>75</v>
      </c>
      <c r="P116">
        <v>4</v>
      </c>
      <c r="Q116" t="s">
        <v>58</v>
      </c>
      <c r="R116" t="s">
        <v>59</v>
      </c>
      <c r="S116" t="s">
        <v>40</v>
      </c>
      <c r="T116" t="s">
        <v>78</v>
      </c>
      <c r="U116">
        <v>90</v>
      </c>
      <c r="V116">
        <v>88</v>
      </c>
      <c r="W116">
        <v>40</v>
      </c>
      <c r="X116" s="2">
        <f>AVERAGE(Query1[[#This Row],[Assignment 1 Score]],Query1[[#This Row],[Assignment 2 Score]],Query1[[#This Row],[Midterm Exam Score]])</f>
        <v>72.666666666666671</v>
      </c>
      <c r="Y116" t="str" cm="1">
        <f t="array" ref="Y11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16" s="3">
        <f>Query1[[#This Row],[Final Score]]*5/100</f>
        <v>3.6333333333333337</v>
      </c>
      <c r="AA116" s="4">
        <v>0.91849999999999998</v>
      </c>
      <c r="AB116" s="4"/>
      <c r="AC116" s="5">
        <v>12645</v>
      </c>
      <c r="AD116" s="5">
        <v>1000</v>
      </c>
      <c r="AE116" s="5">
        <f>Query1[[#This Row],[Tuition Fee]]-Query1[[#This Row],[Scholarship Amount]]</f>
        <v>11645</v>
      </c>
      <c r="AF116" t="s">
        <v>31</v>
      </c>
    </row>
    <row r="117" spans="1:32" x14ac:dyDescent="0.35">
      <c r="A117" t="s">
        <v>332</v>
      </c>
      <c r="B117" t="s">
        <v>867</v>
      </c>
      <c r="C117" t="s">
        <v>1204</v>
      </c>
      <c r="D117" t="str">
        <f>LEFT(Query1[[#This Row],[First Name]],1) &amp; "." &amp; Query1[[#This Row],[Last Name]] &amp; "@university.edu"</f>
        <v>A.Pren@university.edu</v>
      </c>
      <c r="E117" t="s">
        <v>43</v>
      </c>
      <c r="F117" s="1">
        <v>36956</v>
      </c>
      <c r="G117" s="2">
        <f ca="1">DATEDIF(Query1[[#This Row],[Date of Birth]],TODAY(),"Y")</f>
        <v>24</v>
      </c>
      <c r="H117" t="s">
        <v>119</v>
      </c>
      <c r="I117">
        <v>2020</v>
      </c>
      <c r="J117" t="s">
        <v>34</v>
      </c>
      <c r="K117" t="s">
        <v>35</v>
      </c>
      <c r="N117" t="s">
        <v>333</v>
      </c>
      <c r="O117" t="s">
        <v>37</v>
      </c>
      <c r="P117">
        <v>3</v>
      </c>
      <c r="Q117" t="s">
        <v>67</v>
      </c>
      <c r="R117" t="s">
        <v>68</v>
      </c>
      <c r="S117" t="s">
        <v>29</v>
      </c>
      <c r="T117" t="s">
        <v>41</v>
      </c>
      <c r="U117">
        <v>69</v>
      </c>
      <c r="V117">
        <v>73</v>
      </c>
      <c r="W117">
        <v>34</v>
      </c>
      <c r="X117" s="2">
        <f>AVERAGE(Query1[[#This Row],[Assignment 1 Score]],Query1[[#This Row],[Assignment 2 Score]],Query1[[#This Row],[Midterm Exam Score]])</f>
        <v>58.666666666666664</v>
      </c>
      <c r="Y117" t="str" cm="1">
        <f t="array" ref="Y11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17" s="3">
        <f>Query1[[#This Row],[Final Score]]*5/100</f>
        <v>2.9333333333333331</v>
      </c>
      <c r="AA117" s="4">
        <v>0.87024999999999997</v>
      </c>
      <c r="AB117" s="4"/>
      <c r="AC117" s="5">
        <v>12168</v>
      </c>
      <c r="AD117" s="5">
        <v>0</v>
      </c>
      <c r="AE117" s="5">
        <f>Query1[[#This Row],[Tuition Fee]]-Query1[[#This Row],[Scholarship Amount]]</f>
        <v>12168</v>
      </c>
      <c r="AF117" t="s">
        <v>31</v>
      </c>
    </row>
    <row r="118" spans="1:32" x14ac:dyDescent="0.35">
      <c r="A118" t="s">
        <v>334</v>
      </c>
      <c r="B118" t="s">
        <v>868</v>
      </c>
      <c r="C118" t="s">
        <v>1205</v>
      </c>
      <c r="D118" t="str">
        <f>LEFT(Query1[[#This Row],[First Name]],1) &amp; "." &amp; Query1[[#This Row],[Last Name]] &amp; "@university.edu"</f>
        <v>D.Feldhuhn@university.edu</v>
      </c>
      <c r="E118" t="s">
        <v>32</v>
      </c>
      <c r="F118" s="1">
        <v>36966</v>
      </c>
      <c r="G118" s="2">
        <f ca="1">DATEDIF(Query1[[#This Row],[Date of Birth]],TODAY(),"Y")</f>
        <v>24</v>
      </c>
      <c r="H118" t="s">
        <v>124</v>
      </c>
      <c r="I118">
        <v>2021</v>
      </c>
      <c r="J118" t="s">
        <v>45</v>
      </c>
      <c r="K118" t="s">
        <v>131</v>
      </c>
      <c r="N118" t="s">
        <v>335</v>
      </c>
      <c r="O118" t="s">
        <v>133</v>
      </c>
      <c r="P118">
        <v>3</v>
      </c>
      <c r="Q118" t="s">
        <v>76</v>
      </c>
      <c r="R118" t="s">
        <v>77</v>
      </c>
      <c r="S118" t="s">
        <v>40</v>
      </c>
      <c r="T118" t="s">
        <v>51</v>
      </c>
      <c r="U118">
        <v>93</v>
      </c>
      <c r="V118">
        <v>93</v>
      </c>
      <c r="W118">
        <v>56</v>
      </c>
      <c r="X118" s="2">
        <f>AVERAGE(Query1[[#This Row],[Assignment 1 Score]],Query1[[#This Row],[Assignment 2 Score]],Query1[[#This Row],[Midterm Exam Score]])</f>
        <v>80.666666666666671</v>
      </c>
      <c r="Y118" t="str" cm="1">
        <f t="array" ref="Y11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118" s="3">
        <f>Query1[[#This Row],[Final Score]]*5/100</f>
        <v>4.0333333333333341</v>
      </c>
      <c r="AA118" s="4">
        <v>0.91325000000000001</v>
      </c>
      <c r="AB118" s="4"/>
      <c r="AC118" s="5">
        <v>13191</v>
      </c>
      <c r="AD118" s="5">
        <v>2000</v>
      </c>
      <c r="AE118" s="5">
        <f>Query1[[#This Row],[Tuition Fee]]-Query1[[#This Row],[Scholarship Amount]]</f>
        <v>11191</v>
      </c>
      <c r="AF118" t="s">
        <v>60</v>
      </c>
    </row>
    <row r="119" spans="1:32" x14ac:dyDescent="0.35">
      <c r="A119" t="s">
        <v>336</v>
      </c>
      <c r="B119" t="s">
        <v>869</v>
      </c>
      <c r="C119" t="s">
        <v>1206</v>
      </c>
      <c r="D119" t="str">
        <f>LEFT(Query1[[#This Row],[First Name]],1) &amp; "." &amp; Query1[[#This Row],[Last Name]] &amp; "@university.edu"</f>
        <v>Q.Frie@university.edu</v>
      </c>
      <c r="E119" t="s">
        <v>43</v>
      </c>
      <c r="F119" s="1">
        <v>36976</v>
      </c>
      <c r="G119" s="2">
        <f ca="1">DATEDIF(Query1[[#This Row],[Date of Birth]],TODAY(),"Y")</f>
        <v>24</v>
      </c>
      <c r="H119" t="s">
        <v>127</v>
      </c>
      <c r="I119">
        <v>2022</v>
      </c>
      <c r="J119" t="s">
        <v>54</v>
      </c>
      <c r="K119" t="s">
        <v>135</v>
      </c>
      <c r="N119" t="s">
        <v>337</v>
      </c>
      <c r="O119" t="s">
        <v>137</v>
      </c>
      <c r="P119">
        <v>3</v>
      </c>
      <c r="Q119" t="s">
        <v>82</v>
      </c>
      <c r="R119" t="s">
        <v>83</v>
      </c>
      <c r="S119" t="s">
        <v>29</v>
      </c>
      <c r="T119" t="s">
        <v>30</v>
      </c>
      <c r="U119">
        <v>72</v>
      </c>
      <c r="V119">
        <v>70</v>
      </c>
      <c r="W119">
        <v>32</v>
      </c>
      <c r="X119" s="2">
        <f>AVERAGE(Query1[[#This Row],[Assignment 1 Score]],Query1[[#This Row],[Assignment 2 Score]],Query1[[#This Row],[Midterm Exam Score]])</f>
        <v>58</v>
      </c>
      <c r="Y119" t="str" cm="1">
        <f t="array" ref="Y11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19" s="3">
        <f>Query1[[#This Row],[Final Score]]*5/100</f>
        <v>2.9</v>
      </c>
      <c r="AA119" s="4">
        <v>0.87399999999999989</v>
      </c>
      <c r="AB119" s="4"/>
      <c r="AC119" s="5">
        <v>11214</v>
      </c>
      <c r="AD119" s="5">
        <v>1000</v>
      </c>
      <c r="AE119" s="5">
        <f>Query1[[#This Row],[Tuition Fee]]-Query1[[#This Row],[Scholarship Amount]]</f>
        <v>10214</v>
      </c>
      <c r="AF119" t="s">
        <v>31</v>
      </c>
    </row>
    <row r="120" spans="1:32" x14ac:dyDescent="0.35">
      <c r="A120" t="s">
        <v>338</v>
      </c>
      <c r="B120" t="s">
        <v>870</v>
      </c>
      <c r="C120" t="s">
        <v>1207</v>
      </c>
      <c r="D120" t="str">
        <f>LEFT(Query1[[#This Row],[First Name]],1) &amp; "." &amp; Query1[[#This Row],[Last Name]] &amp; "@university.edu"</f>
        <v>K.Edler@university.edu</v>
      </c>
      <c r="E120" t="s">
        <v>32</v>
      </c>
      <c r="F120" s="1">
        <v>36986</v>
      </c>
      <c r="G120" s="2">
        <f ca="1">DATEDIF(Query1[[#This Row],[Date of Birth]],TODAY(),"Y")</f>
        <v>24</v>
      </c>
      <c r="H120" t="s">
        <v>130</v>
      </c>
      <c r="I120">
        <v>2023</v>
      </c>
      <c r="J120" t="s">
        <v>63</v>
      </c>
      <c r="K120" t="s">
        <v>120</v>
      </c>
      <c r="N120" t="s">
        <v>339</v>
      </c>
      <c r="O120" t="s">
        <v>122</v>
      </c>
      <c r="P120">
        <v>5</v>
      </c>
      <c r="Q120" t="s">
        <v>89</v>
      </c>
      <c r="R120" t="s">
        <v>90</v>
      </c>
      <c r="S120" t="s">
        <v>40</v>
      </c>
      <c r="T120" t="s">
        <v>69</v>
      </c>
      <c r="U120">
        <v>86</v>
      </c>
      <c r="V120">
        <v>90</v>
      </c>
      <c r="W120">
        <v>44</v>
      </c>
      <c r="X120" s="2">
        <f>AVERAGE(Query1[[#This Row],[Assignment 1 Score]],Query1[[#This Row],[Assignment 2 Score]],Query1[[#This Row],[Midterm Exam Score]])</f>
        <v>73.333333333333329</v>
      </c>
      <c r="Y120" t="str" cm="1">
        <f t="array" ref="Y12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20" s="3">
        <f>Query1[[#This Row],[Final Score]]*5/100</f>
        <v>3.6666666666666661</v>
      </c>
      <c r="AA120" s="4">
        <v>0.91325000000000001</v>
      </c>
      <c r="AB120" s="4"/>
      <c r="AC120" s="5">
        <v>15237</v>
      </c>
      <c r="AD120" s="5">
        <v>5000</v>
      </c>
      <c r="AE120" s="5">
        <f>Query1[[#This Row],[Tuition Fee]]-Query1[[#This Row],[Scholarship Amount]]</f>
        <v>10237</v>
      </c>
      <c r="AF120" t="s">
        <v>31</v>
      </c>
    </row>
    <row r="121" spans="1:32" x14ac:dyDescent="0.35">
      <c r="A121" t="s">
        <v>340</v>
      </c>
      <c r="B121" t="s">
        <v>871</v>
      </c>
      <c r="C121" t="s">
        <v>1208</v>
      </c>
      <c r="D121" t="str">
        <f>LEFT(Query1[[#This Row],[First Name]],1) &amp; "." &amp; Query1[[#This Row],[Last Name]] &amp; "@university.edu"</f>
        <v>S.Linzee@university.edu</v>
      </c>
      <c r="E121" t="s">
        <v>43</v>
      </c>
      <c r="F121" s="1">
        <v>36996</v>
      </c>
      <c r="G121" s="2">
        <f ca="1">DATEDIF(Query1[[#This Row],[Date of Birth]],TODAY(),"Y")</f>
        <v>24</v>
      </c>
      <c r="H121" t="s">
        <v>33</v>
      </c>
      <c r="I121">
        <v>2019</v>
      </c>
      <c r="J121" t="s">
        <v>72</v>
      </c>
      <c r="K121" t="s">
        <v>73</v>
      </c>
      <c r="N121" t="s">
        <v>341</v>
      </c>
      <c r="O121" t="s">
        <v>75</v>
      </c>
      <c r="P121">
        <v>4</v>
      </c>
      <c r="Q121" t="s">
        <v>38</v>
      </c>
      <c r="R121" t="s">
        <v>39</v>
      </c>
      <c r="S121" t="s">
        <v>29</v>
      </c>
      <c r="T121" t="s">
        <v>78</v>
      </c>
      <c r="U121">
        <v>65</v>
      </c>
      <c r="V121">
        <v>67</v>
      </c>
      <c r="W121">
        <v>70</v>
      </c>
      <c r="X121" s="2">
        <f>AVERAGE(Query1[[#This Row],[Assignment 1 Score]],Query1[[#This Row],[Assignment 2 Score]],Query1[[#This Row],[Midterm Exam Score]])</f>
        <v>67.333333333333329</v>
      </c>
      <c r="Y121" t="str" cm="1">
        <f t="array" ref="Y12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21" s="3">
        <f>Query1[[#This Row],[Final Score]]*5/100</f>
        <v>3.3666666666666663</v>
      </c>
      <c r="AA121" s="4">
        <v>0.86199999999999999</v>
      </c>
      <c r="AB121" s="4"/>
      <c r="AC121" s="5">
        <v>12760</v>
      </c>
      <c r="AD121" s="5">
        <v>0</v>
      </c>
      <c r="AE121" s="5">
        <f>Query1[[#This Row],[Tuition Fee]]-Query1[[#This Row],[Scholarship Amount]]</f>
        <v>12760</v>
      </c>
      <c r="AF121" t="s">
        <v>60</v>
      </c>
    </row>
    <row r="122" spans="1:32" x14ac:dyDescent="0.35">
      <c r="A122" t="s">
        <v>342</v>
      </c>
      <c r="B122" t="s">
        <v>872</v>
      </c>
      <c r="C122" t="s">
        <v>1209</v>
      </c>
      <c r="D122" t="str">
        <f>LEFT(Query1[[#This Row],[First Name]],1) &amp; "." &amp; Query1[[#This Row],[Last Name]] &amp; "@university.edu"</f>
        <v>M.Elcock@university.edu</v>
      </c>
      <c r="E122" t="s">
        <v>32</v>
      </c>
      <c r="F122" s="1">
        <v>37006</v>
      </c>
      <c r="G122" s="2">
        <f ca="1">DATEDIF(Query1[[#This Row],[Date of Birth]],TODAY(),"Y")</f>
        <v>24</v>
      </c>
      <c r="H122" t="s">
        <v>44</v>
      </c>
      <c r="I122">
        <v>2020</v>
      </c>
      <c r="J122" t="s">
        <v>34</v>
      </c>
      <c r="K122" t="s">
        <v>35</v>
      </c>
      <c r="N122" t="s">
        <v>343</v>
      </c>
      <c r="O122" t="s">
        <v>37</v>
      </c>
      <c r="P122">
        <v>3</v>
      </c>
      <c r="Q122" t="s">
        <v>49</v>
      </c>
      <c r="R122" t="s">
        <v>50</v>
      </c>
      <c r="S122" t="s">
        <v>40</v>
      </c>
      <c r="T122" t="s">
        <v>41</v>
      </c>
      <c r="U122">
        <v>89</v>
      </c>
      <c r="V122">
        <v>87</v>
      </c>
      <c r="W122">
        <v>50</v>
      </c>
      <c r="X122" s="2">
        <f>AVERAGE(Query1[[#This Row],[Assignment 1 Score]],Query1[[#This Row],[Assignment 2 Score]],Query1[[#This Row],[Midterm Exam Score]])</f>
        <v>75.333333333333329</v>
      </c>
      <c r="Y122" t="str" cm="1">
        <f t="array" ref="Y12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22" s="3">
        <f>Query1[[#This Row],[Final Score]]*5/100</f>
        <v>3.7666666666666662</v>
      </c>
      <c r="AA122" s="4">
        <v>0.92499999999999993</v>
      </c>
      <c r="AB122" s="4"/>
      <c r="AC122" s="5">
        <v>12283</v>
      </c>
      <c r="AD122" s="5">
        <v>1000</v>
      </c>
      <c r="AE122" s="5">
        <f>Query1[[#This Row],[Tuition Fee]]-Query1[[#This Row],[Scholarship Amount]]</f>
        <v>11283</v>
      </c>
      <c r="AF122" t="s">
        <v>31</v>
      </c>
    </row>
    <row r="123" spans="1:32" x14ac:dyDescent="0.35">
      <c r="A123" t="s">
        <v>344</v>
      </c>
      <c r="B123" t="s">
        <v>873</v>
      </c>
      <c r="C123" t="s">
        <v>1210</v>
      </c>
      <c r="D123" t="str">
        <f>LEFT(Query1[[#This Row],[First Name]],1) &amp; "." &amp; Query1[[#This Row],[Last Name]] &amp; "@university.edu"</f>
        <v>M.Kinton@university.edu</v>
      </c>
      <c r="E123" t="s">
        <v>43</v>
      </c>
      <c r="F123" s="1">
        <v>37016</v>
      </c>
      <c r="G123" s="2">
        <f ca="1">DATEDIF(Query1[[#This Row],[Date of Birth]],TODAY(),"Y")</f>
        <v>24</v>
      </c>
      <c r="H123" t="s">
        <v>53</v>
      </c>
      <c r="I123">
        <v>2021</v>
      </c>
      <c r="J123" t="s">
        <v>45</v>
      </c>
      <c r="K123" t="s">
        <v>46</v>
      </c>
      <c r="N123" t="s">
        <v>345</v>
      </c>
      <c r="O123" t="s">
        <v>48</v>
      </c>
      <c r="P123">
        <v>3</v>
      </c>
      <c r="Q123" t="s">
        <v>58</v>
      </c>
      <c r="R123" t="s">
        <v>59</v>
      </c>
      <c r="S123" t="s">
        <v>29</v>
      </c>
      <c r="T123" t="s">
        <v>51</v>
      </c>
      <c r="U123">
        <v>68</v>
      </c>
      <c r="V123">
        <v>72</v>
      </c>
      <c r="W123">
        <v>60</v>
      </c>
      <c r="X123" s="2">
        <f>AVERAGE(Query1[[#This Row],[Assignment 1 Score]],Query1[[#This Row],[Assignment 2 Score]],Query1[[#This Row],[Midterm Exam Score]])</f>
        <v>66.666666666666671</v>
      </c>
      <c r="Y123" t="str" cm="1">
        <f t="array" ref="Y12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23" s="3">
        <f>Query1[[#This Row],[Final Score]]*5/100</f>
        <v>3.3333333333333339</v>
      </c>
      <c r="AA123" s="4">
        <v>0.87674999999999992</v>
      </c>
      <c r="AB123" s="4"/>
      <c r="AC123" s="5">
        <v>13306</v>
      </c>
      <c r="AD123" s="5">
        <v>1000</v>
      </c>
      <c r="AE123" s="5">
        <f>Query1[[#This Row],[Tuition Fee]]-Query1[[#This Row],[Scholarship Amount]]</f>
        <v>12306</v>
      </c>
      <c r="AF123" t="s">
        <v>31</v>
      </c>
    </row>
    <row r="124" spans="1:32" x14ac:dyDescent="0.35">
      <c r="A124" t="s">
        <v>346</v>
      </c>
      <c r="B124" t="s">
        <v>874</v>
      </c>
      <c r="C124" t="s">
        <v>1211</v>
      </c>
      <c r="D124" t="str">
        <f>LEFT(Query1[[#This Row],[First Name]],1) &amp; "." &amp; Query1[[#This Row],[Last Name]] &amp; "@university.edu"</f>
        <v>T.Wollard@university.edu</v>
      </c>
      <c r="E124" t="s">
        <v>32</v>
      </c>
      <c r="F124" s="1">
        <v>37026</v>
      </c>
      <c r="G124" s="2">
        <f ca="1">DATEDIF(Query1[[#This Row],[Date of Birth]],TODAY(),"Y")</f>
        <v>24</v>
      </c>
      <c r="H124" t="s">
        <v>62</v>
      </c>
      <c r="I124">
        <v>2022</v>
      </c>
      <c r="J124" t="s">
        <v>54</v>
      </c>
      <c r="K124" t="s">
        <v>55</v>
      </c>
      <c r="N124" t="s">
        <v>347</v>
      </c>
      <c r="O124" t="s">
        <v>57</v>
      </c>
      <c r="P124">
        <v>3</v>
      </c>
      <c r="Q124" t="s">
        <v>67</v>
      </c>
      <c r="R124" t="s">
        <v>68</v>
      </c>
      <c r="S124" t="s">
        <v>40</v>
      </c>
      <c r="T124" t="s">
        <v>30</v>
      </c>
      <c r="U124">
        <v>82</v>
      </c>
      <c r="V124">
        <v>84</v>
      </c>
      <c r="W124">
        <v>41</v>
      </c>
      <c r="X124" s="2">
        <f>AVERAGE(Query1[[#This Row],[Assignment 1 Score]],Query1[[#This Row],[Assignment 2 Score]],Query1[[#This Row],[Midterm Exam Score]])</f>
        <v>69</v>
      </c>
      <c r="Y124" t="str" cm="1">
        <f t="array" ref="Y12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24" s="3">
        <f>Query1[[#This Row],[Final Score]]*5/100</f>
        <v>3.45</v>
      </c>
      <c r="AA124" s="4">
        <v>0.92499999999999993</v>
      </c>
      <c r="AB124" s="4"/>
      <c r="AC124" s="5">
        <v>11329</v>
      </c>
      <c r="AD124" s="5">
        <v>2000</v>
      </c>
      <c r="AE124" s="5">
        <f>Query1[[#This Row],[Tuition Fee]]-Query1[[#This Row],[Scholarship Amount]]</f>
        <v>9329</v>
      </c>
      <c r="AF124" t="s">
        <v>60</v>
      </c>
    </row>
    <row r="125" spans="1:32" x14ac:dyDescent="0.35">
      <c r="A125" t="s">
        <v>348</v>
      </c>
      <c r="B125" t="s">
        <v>875</v>
      </c>
      <c r="C125" t="s">
        <v>1212</v>
      </c>
      <c r="D125" t="str">
        <f>LEFT(Query1[[#This Row],[First Name]],1) &amp; "." &amp; Query1[[#This Row],[Last Name]] &amp; "@university.edu"</f>
        <v>I.Yerrington@university.edu</v>
      </c>
      <c r="E125" t="s">
        <v>43</v>
      </c>
      <c r="F125" s="1">
        <v>37036</v>
      </c>
      <c r="G125" s="2">
        <f ca="1">DATEDIF(Query1[[#This Row],[Date of Birth]],TODAY(),"Y")</f>
        <v>24</v>
      </c>
      <c r="H125" t="s">
        <v>71</v>
      </c>
      <c r="I125">
        <v>2023</v>
      </c>
      <c r="J125" t="s">
        <v>63</v>
      </c>
      <c r="K125" t="s">
        <v>64</v>
      </c>
      <c r="N125" t="s">
        <v>349</v>
      </c>
      <c r="O125" t="s">
        <v>66</v>
      </c>
      <c r="P125">
        <v>5</v>
      </c>
      <c r="Q125" t="s">
        <v>76</v>
      </c>
      <c r="R125" t="s">
        <v>77</v>
      </c>
      <c r="S125" t="s">
        <v>29</v>
      </c>
      <c r="T125" t="s">
        <v>69</v>
      </c>
      <c r="U125">
        <v>71</v>
      </c>
      <c r="V125">
        <v>50</v>
      </c>
      <c r="W125">
        <v>38</v>
      </c>
      <c r="X125" s="2">
        <f>AVERAGE(Query1[[#This Row],[Assignment 1 Score]],Query1[[#This Row],[Assignment 2 Score]],Query1[[#This Row],[Midterm Exam Score]])</f>
        <v>53</v>
      </c>
      <c r="Y125" t="str" cm="1">
        <f t="array" ref="Y12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25" s="3">
        <f>Query1[[#This Row],[Final Score]]*5/100</f>
        <v>2.65</v>
      </c>
      <c r="AA125" s="4">
        <v>0.88049999999999995</v>
      </c>
      <c r="AB125" s="4"/>
      <c r="AC125" s="5">
        <v>15352</v>
      </c>
      <c r="AD125" s="5">
        <v>0</v>
      </c>
      <c r="AE125" s="5">
        <f>Query1[[#This Row],[Tuition Fee]]-Query1[[#This Row],[Scholarship Amount]]</f>
        <v>15352</v>
      </c>
      <c r="AF125" t="s">
        <v>31</v>
      </c>
    </row>
    <row r="126" spans="1:32" x14ac:dyDescent="0.35">
      <c r="A126" t="s">
        <v>350</v>
      </c>
      <c r="B126" t="s">
        <v>876</v>
      </c>
      <c r="C126" t="s">
        <v>1213</v>
      </c>
      <c r="D126" t="str">
        <f>LEFT(Query1[[#This Row],[First Name]],1) &amp; "." &amp; Query1[[#This Row],[Last Name]] &amp; "@university.edu"</f>
        <v>C.Boutflour@university.edu</v>
      </c>
      <c r="E126" t="s">
        <v>32</v>
      </c>
      <c r="F126" s="1">
        <v>37046</v>
      </c>
      <c r="G126" s="2">
        <f ca="1">DATEDIF(Query1[[#This Row],[Date of Birth]],TODAY(),"Y")</f>
        <v>24</v>
      </c>
      <c r="H126" t="s">
        <v>80</v>
      </c>
      <c r="I126">
        <v>2019</v>
      </c>
      <c r="J126" t="s">
        <v>72</v>
      </c>
      <c r="K126" t="s">
        <v>73</v>
      </c>
      <c r="N126" t="s">
        <v>351</v>
      </c>
      <c r="O126" t="s">
        <v>75</v>
      </c>
      <c r="P126">
        <v>4</v>
      </c>
      <c r="Q126" t="s">
        <v>82</v>
      </c>
      <c r="R126" t="s">
        <v>83</v>
      </c>
      <c r="S126" t="s">
        <v>40</v>
      </c>
      <c r="T126" t="s">
        <v>78</v>
      </c>
      <c r="U126">
        <v>85</v>
      </c>
      <c r="V126">
        <v>60</v>
      </c>
      <c r="W126">
        <v>59</v>
      </c>
      <c r="X126" s="2">
        <f>AVERAGE(Query1[[#This Row],[Assignment 1 Score]],Query1[[#This Row],[Assignment 2 Score]],Query1[[#This Row],[Midterm Exam Score]])</f>
        <v>68</v>
      </c>
      <c r="Y126" t="str" cm="1">
        <f t="array" ref="Y12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26" s="3">
        <f>Query1[[#This Row],[Final Score]]*5/100</f>
        <v>3.4</v>
      </c>
      <c r="AA126" s="4">
        <v>0.91974999999999996</v>
      </c>
      <c r="AB126" s="4"/>
      <c r="AC126" s="5">
        <v>12875</v>
      </c>
      <c r="AD126" s="5">
        <v>1000</v>
      </c>
      <c r="AE126" s="5">
        <f>Query1[[#This Row],[Tuition Fee]]-Query1[[#This Row],[Scholarship Amount]]</f>
        <v>11875</v>
      </c>
      <c r="AF126" t="s">
        <v>31</v>
      </c>
    </row>
    <row r="127" spans="1:32" x14ac:dyDescent="0.35">
      <c r="A127" t="s">
        <v>352</v>
      </c>
      <c r="B127" t="s">
        <v>877</v>
      </c>
      <c r="C127" t="s">
        <v>1214</v>
      </c>
      <c r="D127" t="str">
        <f>LEFT(Query1[[#This Row],[First Name]],1) &amp; "." &amp; Query1[[#This Row],[Last Name]] &amp; "@university.edu"</f>
        <v>A.Toffanini@university.edu</v>
      </c>
      <c r="E127" t="s">
        <v>43</v>
      </c>
      <c r="F127" s="1">
        <v>37056</v>
      </c>
      <c r="G127" s="2">
        <f ca="1">DATEDIF(Query1[[#This Row],[Date of Birth]],TODAY(),"Y")</f>
        <v>24</v>
      </c>
      <c r="H127" t="s">
        <v>85</v>
      </c>
      <c r="I127">
        <v>2020</v>
      </c>
      <c r="J127" t="s">
        <v>34</v>
      </c>
      <c r="K127" t="s">
        <v>35</v>
      </c>
      <c r="N127" t="s">
        <v>353</v>
      </c>
      <c r="O127" t="s">
        <v>37</v>
      </c>
      <c r="P127">
        <v>3</v>
      </c>
      <c r="Q127" t="s">
        <v>89</v>
      </c>
      <c r="R127" t="s">
        <v>90</v>
      </c>
      <c r="S127" t="s">
        <v>29</v>
      </c>
      <c r="T127" t="s">
        <v>41</v>
      </c>
      <c r="U127">
        <v>64</v>
      </c>
      <c r="V127">
        <v>41</v>
      </c>
      <c r="W127">
        <v>59</v>
      </c>
      <c r="X127" s="2">
        <f>AVERAGE(Query1[[#This Row],[Assignment 1 Score]],Query1[[#This Row],[Assignment 2 Score]],Query1[[#This Row],[Midterm Exam Score]])</f>
        <v>54.666666666666664</v>
      </c>
      <c r="Y127" t="str" cm="1">
        <f t="array" ref="Y12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27" s="3">
        <f>Query1[[#This Row],[Final Score]]*5/100</f>
        <v>2.7333333333333329</v>
      </c>
      <c r="AA127" s="4">
        <v>0.66849999999999998</v>
      </c>
      <c r="AB127" s="4"/>
      <c r="AC127" s="5">
        <v>12398</v>
      </c>
      <c r="AD127" s="5">
        <v>5000</v>
      </c>
      <c r="AE127" s="5">
        <f>Query1[[#This Row],[Tuition Fee]]-Query1[[#This Row],[Scholarship Amount]]</f>
        <v>7398</v>
      </c>
      <c r="AF127" t="s">
        <v>60</v>
      </c>
    </row>
    <row r="128" spans="1:32" x14ac:dyDescent="0.35">
      <c r="A128" t="s">
        <v>354</v>
      </c>
      <c r="B128" t="s">
        <v>878</v>
      </c>
      <c r="C128" t="s">
        <v>1215</v>
      </c>
      <c r="D128" t="str">
        <f>LEFT(Query1[[#This Row],[First Name]],1) &amp; "." &amp; Query1[[#This Row],[Last Name]] &amp; "@university.edu"</f>
        <v>H.Donaghy@university.edu</v>
      </c>
      <c r="E128" t="s">
        <v>32</v>
      </c>
      <c r="F128" s="1">
        <v>37066</v>
      </c>
      <c r="G128" s="2">
        <f ca="1">DATEDIF(Query1[[#This Row],[Date of Birth]],TODAY(),"Y")</f>
        <v>24</v>
      </c>
      <c r="H128" t="s">
        <v>92</v>
      </c>
      <c r="I128">
        <v>2021</v>
      </c>
      <c r="J128" t="s">
        <v>45</v>
      </c>
      <c r="K128" t="s">
        <v>86</v>
      </c>
      <c r="N128" t="s">
        <v>355</v>
      </c>
      <c r="O128" t="s">
        <v>88</v>
      </c>
      <c r="P128">
        <v>3</v>
      </c>
      <c r="Q128" t="s">
        <v>38</v>
      </c>
      <c r="R128" t="s">
        <v>39</v>
      </c>
      <c r="S128" t="s">
        <v>40</v>
      </c>
      <c r="T128" t="s">
        <v>51</v>
      </c>
      <c r="U128">
        <v>88</v>
      </c>
      <c r="V128">
        <v>38</v>
      </c>
      <c r="W128">
        <v>40</v>
      </c>
      <c r="X128" s="2">
        <f>AVERAGE(Query1[[#This Row],[Assignment 1 Score]],Query1[[#This Row],[Assignment 2 Score]],Query1[[#This Row],[Midterm Exam Score]])</f>
        <v>55.333333333333336</v>
      </c>
      <c r="Y128" t="str" cm="1">
        <f t="array" ref="Y12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28" s="3">
        <f>Query1[[#This Row],[Final Score]]*5/100</f>
        <v>2.7666666666666671</v>
      </c>
      <c r="AA128" s="4">
        <v>0.91149999999999998</v>
      </c>
      <c r="AB128" s="4"/>
      <c r="AC128" s="5">
        <v>13421</v>
      </c>
      <c r="AD128" s="5">
        <v>1000</v>
      </c>
      <c r="AE128" s="5">
        <f>Query1[[#This Row],[Tuition Fee]]-Query1[[#This Row],[Scholarship Amount]]</f>
        <v>12421</v>
      </c>
      <c r="AF128" t="s">
        <v>31</v>
      </c>
    </row>
    <row r="129" spans="1:32" x14ac:dyDescent="0.35">
      <c r="A129" t="s">
        <v>356</v>
      </c>
      <c r="B129" t="s">
        <v>879</v>
      </c>
      <c r="C129" t="s">
        <v>1216</v>
      </c>
      <c r="D129" t="str">
        <f>LEFT(Query1[[#This Row],[First Name]],1) &amp; "." &amp; Query1[[#This Row],[Last Name]] &amp; "@university.edu"</f>
        <v>S.Skotcher@university.edu</v>
      </c>
      <c r="E129" t="s">
        <v>43</v>
      </c>
      <c r="F129" s="1">
        <v>37076</v>
      </c>
      <c r="G129" s="2">
        <f ca="1">DATEDIF(Query1[[#This Row],[Date of Birth]],TODAY(),"Y")</f>
        <v>24</v>
      </c>
      <c r="H129" t="s">
        <v>97</v>
      </c>
      <c r="I129">
        <v>2022</v>
      </c>
      <c r="J129" t="s">
        <v>54</v>
      </c>
      <c r="K129" t="s">
        <v>93</v>
      </c>
      <c r="N129" t="s">
        <v>357</v>
      </c>
      <c r="O129" t="s">
        <v>95</v>
      </c>
      <c r="P129">
        <v>3</v>
      </c>
      <c r="Q129" t="s">
        <v>49</v>
      </c>
      <c r="R129" t="s">
        <v>50</v>
      </c>
      <c r="S129" t="s">
        <v>29</v>
      </c>
      <c r="T129" t="s">
        <v>30</v>
      </c>
      <c r="U129">
        <v>67</v>
      </c>
      <c r="V129">
        <v>59</v>
      </c>
      <c r="W129">
        <v>34</v>
      </c>
      <c r="X129" s="2">
        <f>AVERAGE(Query1[[#This Row],[Assignment 1 Score]],Query1[[#This Row],[Assignment 2 Score]],Query1[[#This Row],[Midterm Exam Score]])</f>
        <v>53.333333333333336</v>
      </c>
      <c r="Y129" t="str" cm="1">
        <f t="array" ref="Y12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29" s="3">
        <f>Query1[[#This Row],[Final Score]]*5/100</f>
        <v>2.666666666666667</v>
      </c>
      <c r="AA129" s="4">
        <v>0.86024999999999996</v>
      </c>
      <c r="AB129" s="4"/>
      <c r="AC129" s="5">
        <v>11444</v>
      </c>
      <c r="AD129" s="5">
        <v>0</v>
      </c>
      <c r="AE129" s="5">
        <f>Query1[[#This Row],[Tuition Fee]]-Query1[[#This Row],[Scholarship Amount]]</f>
        <v>11444</v>
      </c>
      <c r="AF129" t="s">
        <v>31</v>
      </c>
    </row>
    <row r="130" spans="1:32" x14ac:dyDescent="0.35">
      <c r="A130" t="s">
        <v>358</v>
      </c>
      <c r="B130" t="s">
        <v>880</v>
      </c>
      <c r="C130" t="s">
        <v>1217</v>
      </c>
      <c r="D130" t="str">
        <f>LEFT(Query1[[#This Row],[First Name]],1) &amp; "." &amp; Query1[[#This Row],[Last Name]] &amp; "@university.edu"</f>
        <v>C.Hamon@university.edu</v>
      </c>
      <c r="E130" t="s">
        <v>32</v>
      </c>
      <c r="F130" s="1">
        <v>37086</v>
      </c>
      <c r="G130" s="2">
        <f ca="1">DATEDIF(Query1[[#This Row],[Date of Birth]],TODAY(),"Y")</f>
        <v>24</v>
      </c>
      <c r="H130" t="s">
        <v>102</v>
      </c>
      <c r="I130">
        <v>2023</v>
      </c>
      <c r="J130" t="s">
        <v>63</v>
      </c>
      <c r="K130" t="s">
        <v>98</v>
      </c>
      <c r="N130" t="s">
        <v>359</v>
      </c>
      <c r="O130" t="s">
        <v>100</v>
      </c>
      <c r="P130">
        <v>5</v>
      </c>
      <c r="Q130" t="s">
        <v>58</v>
      </c>
      <c r="R130" t="s">
        <v>59</v>
      </c>
      <c r="S130" t="s">
        <v>40</v>
      </c>
      <c r="T130" t="s">
        <v>69</v>
      </c>
      <c r="U130">
        <v>81</v>
      </c>
      <c r="V130">
        <v>40</v>
      </c>
      <c r="W130">
        <v>56</v>
      </c>
      <c r="X130" s="2">
        <f>AVERAGE(Query1[[#This Row],[Assignment 1 Score]],Query1[[#This Row],[Assignment 2 Score]],Query1[[#This Row],[Midterm Exam Score]])</f>
        <v>59</v>
      </c>
      <c r="Y130" t="str" cm="1">
        <f t="array" ref="Y13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30" s="3">
        <f>Query1[[#This Row],[Final Score]]*5/100</f>
        <v>2.95</v>
      </c>
      <c r="AA130" s="4">
        <v>0.91149999999999998</v>
      </c>
      <c r="AB130" s="4"/>
      <c r="AC130" s="5">
        <v>15467</v>
      </c>
      <c r="AD130" s="5">
        <v>2000</v>
      </c>
      <c r="AE130" s="5">
        <f>Query1[[#This Row],[Tuition Fee]]-Query1[[#This Row],[Scholarship Amount]]</f>
        <v>13467</v>
      </c>
      <c r="AF130" t="s">
        <v>60</v>
      </c>
    </row>
    <row r="131" spans="1:32" x14ac:dyDescent="0.35">
      <c r="A131" t="s">
        <v>360</v>
      </c>
      <c r="B131" t="s">
        <v>881</v>
      </c>
      <c r="C131" t="s">
        <v>1218</v>
      </c>
      <c r="D131" t="str">
        <f>LEFT(Query1[[#This Row],[First Name]],1) &amp; "." &amp; Query1[[#This Row],[Last Name]] &amp; "@university.edu"</f>
        <v>J.Nern@university.edu</v>
      </c>
      <c r="E131" t="s">
        <v>43</v>
      </c>
      <c r="F131" s="1">
        <v>37096</v>
      </c>
      <c r="G131" s="2">
        <f ca="1">DATEDIF(Query1[[#This Row],[Date of Birth]],TODAY(),"Y")</f>
        <v>24</v>
      </c>
      <c r="H131" t="s">
        <v>105</v>
      </c>
      <c r="I131">
        <v>2019</v>
      </c>
      <c r="J131" t="s">
        <v>72</v>
      </c>
      <c r="K131" t="s">
        <v>73</v>
      </c>
      <c r="N131" t="s">
        <v>361</v>
      </c>
      <c r="O131" t="s">
        <v>75</v>
      </c>
      <c r="P131">
        <v>4</v>
      </c>
      <c r="Q131" t="s">
        <v>67</v>
      </c>
      <c r="R131" t="s">
        <v>68</v>
      </c>
      <c r="S131" t="s">
        <v>29</v>
      </c>
      <c r="T131" t="s">
        <v>78</v>
      </c>
      <c r="U131">
        <v>60</v>
      </c>
      <c r="V131">
        <v>34</v>
      </c>
      <c r="W131">
        <v>32</v>
      </c>
      <c r="X131" s="2">
        <f>AVERAGE(Query1[[#This Row],[Assignment 1 Score]],Query1[[#This Row],[Assignment 2 Score]],Query1[[#This Row],[Midterm Exam Score]])</f>
        <v>42</v>
      </c>
      <c r="Y131" t="str" cm="1">
        <f t="array" ref="Y13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E</v>
      </c>
      <c r="Z131" s="3">
        <f>Query1[[#This Row],[Final Score]]*5/100</f>
        <v>2.1</v>
      </c>
      <c r="AA131" s="4">
        <v>0.86324999999999996</v>
      </c>
      <c r="AB131" s="4"/>
      <c r="AC131" s="5">
        <v>12990</v>
      </c>
      <c r="AD131" s="5">
        <v>1000</v>
      </c>
      <c r="AE131" s="5">
        <f>Query1[[#This Row],[Tuition Fee]]-Query1[[#This Row],[Scholarship Amount]]</f>
        <v>11990</v>
      </c>
      <c r="AF131" t="s">
        <v>31</v>
      </c>
    </row>
    <row r="132" spans="1:32" x14ac:dyDescent="0.35">
      <c r="A132" t="s">
        <v>362</v>
      </c>
      <c r="B132" t="s">
        <v>882</v>
      </c>
      <c r="C132" t="s">
        <v>1219</v>
      </c>
      <c r="D132" t="str">
        <f>LEFT(Query1[[#This Row],[First Name]],1) &amp; "." &amp; Query1[[#This Row],[Last Name]] &amp; "@university.edu"</f>
        <v>F.Antrim@university.edu</v>
      </c>
      <c r="E132" t="s">
        <v>32</v>
      </c>
      <c r="F132" s="1">
        <v>37106</v>
      </c>
      <c r="G132" s="2">
        <f ca="1">DATEDIF(Query1[[#This Row],[Date of Birth]],TODAY(),"Y")</f>
        <v>24</v>
      </c>
      <c r="H132" t="s">
        <v>108</v>
      </c>
      <c r="I132">
        <v>2020</v>
      </c>
      <c r="J132" t="s">
        <v>34</v>
      </c>
      <c r="K132" t="s">
        <v>35</v>
      </c>
      <c r="N132" t="s">
        <v>363</v>
      </c>
      <c r="O132" t="s">
        <v>37</v>
      </c>
      <c r="P132">
        <v>3</v>
      </c>
      <c r="Q132" t="s">
        <v>76</v>
      </c>
      <c r="R132" t="s">
        <v>77</v>
      </c>
      <c r="S132" t="s">
        <v>40</v>
      </c>
      <c r="T132" t="s">
        <v>41</v>
      </c>
      <c r="U132">
        <v>84</v>
      </c>
      <c r="V132">
        <v>56</v>
      </c>
      <c r="W132">
        <v>44</v>
      </c>
      <c r="X132" s="2">
        <f>AVERAGE(Query1[[#This Row],[Assignment 1 Score]],Query1[[#This Row],[Assignment 2 Score]],Query1[[#This Row],[Midterm Exam Score]])</f>
        <v>61.333333333333336</v>
      </c>
      <c r="Y132" t="str" cm="1">
        <f t="array" ref="Y13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132" s="3">
        <f>Query1[[#This Row],[Final Score]]*5/100</f>
        <v>3.0666666666666669</v>
      </c>
      <c r="AA132" s="4">
        <v>0.90325</v>
      </c>
      <c r="AB132" s="4"/>
      <c r="AC132" s="5">
        <v>12013</v>
      </c>
      <c r="AD132" s="5">
        <v>1000</v>
      </c>
      <c r="AE132" s="5">
        <f>Query1[[#This Row],[Tuition Fee]]-Query1[[#This Row],[Scholarship Amount]]</f>
        <v>11013</v>
      </c>
      <c r="AF132" t="s">
        <v>31</v>
      </c>
    </row>
    <row r="133" spans="1:32" x14ac:dyDescent="0.35">
      <c r="A133" t="s">
        <v>364</v>
      </c>
      <c r="B133" t="s">
        <v>883</v>
      </c>
      <c r="C133" t="s">
        <v>1220</v>
      </c>
      <c r="D133" t="str">
        <f>LEFT(Query1[[#This Row],[First Name]],1) &amp; "." &amp; Query1[[#This Row],[Last Name]] &amp; "@university.edu"</f>
        <v>A.McKim@university.edu</v>
      </c>
      <c r="E133" t="s">
        <v>43</v>
      </c>
      <c r="F133" s="1">
        <v>37116</v>
      </c>
      <c r="G133" s="2">
        <f ca="1">DATEDIF(Query1[[#This Row],[Date of Birth]],TODAY(),"Y")</f>
        <v>24</v>
      </c>
      <c r="H133" t="s">
        <v>113</v>
      </c>
      <c r="I133">
        <v>2021</v>
      </c>
      <c r="J133" t="s">
        <v>45</v>
      </c>
      <c r="K133" t="s">
        <v>109</v>
      </c>
      <c r="N133" t="s">
        <v>365</v>
      </c>
      <c r="O133" t="s">
        <v>111</v>
      </c>
      <c r="P133">
        <v>3</v>
      </c>
      <c r="Q133" t="s">
        <v>82</v>
      </c>
      <c r="R133" t="s">
        <v>83</v>
      </c>
      <c r="S133" t="s">
        <v>29</v>
      </c>
      <c r="T133" t="s">
        <v>51</v>
      </c>
      <c r="U133">
        <v>63</v>
      </c>
      <c r="V133">
        <v>32</v>
      </c>
      <c r="W133">
        <v>70</v>
      </c>
      <c r="X133" s="2">
        <f>AVERAGE(Query1[[#This Row],[Assignment 1 Score]],Query1[[#This Row],[Assignment 2 Score]],Query1[[#This Row],[Midterm Exam Score]])</f>
        <v>55</v>
      </c>
      <c r="Y133" t="str" cm="1">
        <f t="array" ref="Y13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33" s="3">
        <f>Query1[[#This Row],[Final Score]]*5/100</f>
        <v>2.75</v>
      </c>
      <c r="AA133" s="4">
        <v>0.85499999999999998</v>
      </c>
      <c r="AB133" s="4"/>
      <c r="AC133" s="5">
        <v>13036</v>
      </c>
      <c r="AD133" s="5">
        <v>0</v>
      </c>
      <c r="AE133" s="5">
        <f>Query1[[#This Row],[Tuition Fee]]-Query1[[#This Row],[Scholarship Amount]]</f>
        <v>13036</v>
      </c>
      <c r="AF133" t="s">
        <v>60</v>
      </c>
    </row>
    <row r="134" spans="1:32" x14ac:dyDescent="0.35">
      <c r="A134" t="s">
        <v>366</v>
      </c>
      <c r="B134" t="s">
        <v>884</v>
      </c>
      <c r="C134" t="s">
        <v>1221</v>
      </c>
      <c r="D134" t="str">
        <f>LEFT(Query1[[#This Row],[First Name]],1) &amp; "." &amp; Query1[[#This Row],[Last Name]] &amp; "@university.edu"</f>
        <v>B.Olyonov@university.edu</v>
      </c>
      <c r="E134" t="s">
        <v>32</v>
      </c>
      <c r="F134" s="1">
        <v>37126</v>
      </c>
      <c r="G134" s="2">
        <f ca="1">DATEDIF(Query1[[#This Row],[Date of Birth]],TODAY(),"Y")</f>
        <v>24</v>
      </c>
      <c r="H134" t="s">
        <v>119</v>
      </c>
      <c r="I134">
        <v>2022</v>
      </c>
      <c r="J134" t="s">
        <v>54</v>
      </c>
      <c r="K134" t="s">
        <v>114</v>
      </c>
      <c r="N134" t="s">
        <v>367</v>
      </c>
      <c r="O134" t="s">
        <v>116</v>
      </c>
      <c r="P134">
        <v>3</v>
      </c>
      <c r="Q134" t="s">
        <v>89</v>
      </c>
      <c r="R134" t="s">
        <v>90</v>
      </c>
      <c r="S134" t="s">
        <v>40</v>
      </c>
      <c r="T134" t="s">
        <v>30</v>
      </c>
      <c r="U134">
        <v>77</v>
      </c>
      <c r="V134">
        <v>44</v>
      </c>
      <c r="W134">
        <v>80</v>
      </c>
      <c r="X134" s="2">
        <f>AVERAGE(Query1[[#This Row],[Assignment 1 Score]],Query1[[#This Row],[Assignment 2 Score]],Query1[[#This Row],[Midterm Exam Score]])</f>
        <v>67</v>
      </c>
      <c r="Y134" t="str" cm="1">
        <f t="array" ref="Y13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34" s="3">
        <f>Query1[[#This Row],[Final Score]]*5/100</f>
        <v>3.35</v>
      </c>
      <c r="AA134" s="4">
        <v>0.89424999999999999</v>
      </c>
      <c r="AB134" s="4"/>
      <c r="AC134" s="5">
        <v>11059</v>
      </c>
      <c r="AD134" s="5">
        <v>5000</v>
      </c>
      <c r="AE134" s="5">
        <f>Query1[[#This Row],[Tuition Fee]]-Query1[[#This Row],[Scholarship Amount]]</f>
        <v>6059</v>
      </c>
      <c r="AF134" t="s">
        <v>31</v>
      </c>
    </row>
    <row r="135" spans="1:32" x14ac:dyDescent="0.35">
      <c r="A135" t="s">
        <v>368</v>
      </c>
      <c r="B135" t="s">
        <v>885</v>
      </c>
      <c r="C135" t="s">
        <v>1222</v>
      </c>
      <c r="D135" t="str">
        <f>LEFT(Query1[[#This Row],[First Name]],1) &amp; "." &amp; Query1[[#This Row],[Last Name]] &amp; "@university.edu"</f>
        <v>N.Hume@university.edu</v>
      </c>
      <c r="E135" t="s">
        <v>43</v>
      </c>
      <c r="F135" s="1">
        <v>37136</v>
      </c>
      <c r="G135" s="2">
        <f ca="1">DATEDIF(Query1[[#This Row],[Date of Birth]],TODAY(),"Y")</f>
        <v>24</v>
      </c>
      <c r="H135" t="s">
        <v>124</v>
      </c>
      <c r="I135">
        <v>2023</v>
      </c>
      <c r="J135" t="s">
        <v>63</v>
      </c>
      <c r="K135" t="s">
        <v>120</v>
      </c>
      <c r="N135" t="s">
        <v>369</v>
      </c>
      <c r="O135" t="s">
        <v>122</v>
      </c>
      <c r="P135">
        <v>5</v>
      </c>
      <c r="Q135" t="s">
        <v>38</v>
      </c>
      <c r="R135" t="s">
        <v>39</v>
      </c>
      <c r="S135" t="s">
        <v>29</v>
      </c>
      <c r="T135" t="s">
        <v>69</v>
      </c>
      <c r="U135">
        <v>66</v>
      </c>
      <c r="V135">
        <v>70</v>
      </c>
      <c r="W135">
        <v>34</v>
      </c>
      <c r="X135" s="2">
        <f>AVERAGE(Query1[[#This Row],[Assignment 1 Score]],Query1[[#This Row],[Assignment 2 Score]],Query1[[#This Row],[Midterm Exam Score]])</f>
        <v>56.666666666666664</v>
      </c>
      <c r="Y135" t="str" cm="1">
        <f t="array" ref="Y13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35" s="3">
        <f>Query1[[#This Row],[Final Score]]*5/100</f>
        <v>2.833333333333333</v>
      </c>
      <c r="AA135" s="4">
        <v>0.8587499999999999</v>
      </c>
      <c r="AB135" s="4"/>
      <c r="AC135" s="5">
        <v>15082</v>
      </c>
      <c r="AD135" s="5">
        <v>1000</v>
      </c>
      <c r="AE135" s="5">
        <f>Query1[[#This Row],[Tuition Fee]]-Query1[[#This Row],[Scholarship Amount]]</f>
        <v>14082</v>
      </c>
      <c r="AF135" t="s">
        <v>31</v>
      </c>
    </row>
    <row r="136" spans="1:32" x14ac:dyDescent="0.35">
      <c r="A136" t="s">
        <v>370</v>
      </c>
      <c r="B136" t="s">
        <v>886</v>
      </c>
      <c r="C136" t="s">
        <v>1223</v>
      </c>
      <c r="D136" t="str">
        <f>LEFT(Query1[[#This Row],[First Name]],1) &amp; "." &amp; Query1[[#This Row],[Last Name]] &amp; "@university.edu"</f>
        <v>H.Bowich@university.edu</v>
      </c>
      <c r="E136" t="s">
        <v>32</v>
      </c>
      <c r="F136" s="1">
        <v>37146</v>
      </c>
      <c r="G136" s="2">
        <f ca="1">DATEDIF(Query1[[#This Row],[Date of Birth]],TODAY(),"Y")</f>
        <v>24</v>
      </c>
      <c r="H136" t="s">
        <v>127</v>
      </c>
      <c r="I136">
        <v>2019</v>
      </c>
      <c r="J136" t="s">
        <v>72</v>
      </c>
      <c r="K136" t="s">
        <v>73</v>
      </c>
      <c r="N136" t="s">
        <v>371</v>
      </c>
      <c r="O136" t="s">
        <v>75</v>
      </c>
      <c r="P136">
        <v>4</v>
      </c>
      <c r="Q136" t="s">
        <v>49</v>
      </c>
      <c r="R136" t="s">
        <v>50</v>
      </c>
      <c r="S136" t="s">
        <v>40</v>
      </c>
      <c r="T136" t="s">
        <v>78</v>
      </c>
      <c r="U136">
        <v>80</v>
      </c>
      <c r="V136">
        <v>82</v>
      </c>
      <c r="W136">
        <v>56</v>
      </c>
      <c r="X136" s="2">
        <f>AVERAGE(Query1[[#This Row],[Assignment 1 Score]],Query1[[#This Row],[Assignment 2 Score]],Query1[[#This Row],[Midterm Exam Score]])</f>
        <v>72.666666666666671</v>
      </c>
      <c r="Y136" t="str" cm="1">
        <f t="array" ref="Y13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36" s="3">
        <f>Query1[[#This Row],[Final Score]]*5/100</f>
        <v>3.6333333333333337</v>
      </c>
      <c r="AA136" s="4">
        <v>0.89799999999999991</v>
      </c>
      <c r="AB136" s="4"/>
      <c r="AC136" s="5">
        <v>12605</v>
      </c>
      <c r="AD136" s="5">
        <v>2000</v>
      </c>
      <c r="AE136" s="5">
        <f>Query1[[#This Row],[Tuition Fee]]-Query1[[#This Row],[Scholarship Amount]]</f>
        <v>10605</v>
      </c>
      <c r="AF136" t="s">
        <v>60</v>
      </c>
    </row>
    <row r="137" spans="1:32" x14ac:dyDescent="0.35">
      <c r="A137" t="s">
        <v>372</v>
      </c>
      <c r="B137" t="s">
        <v>887</v>
      </c>
      <c r="C137" t="s">
        <v>1224</v>
      </c>
      <c r="D137" t="str">
        <f>LEFT(Query1[[#This Row],[First Name]],1) &amp; "." &amp; Query1[[#This Row],[Last Name]] &amp; "@university.edu"</f>
        <v>O.Jowling@university.edu</v>
      </c>
      <c r="E137" t="s">
        <v>43</v>
      </c>
      <c r="F137" s="1">
        <v>37156</v>
      </c>
      <c r="G137" s="2">
        <f ca="1">DATEDIF(Query1[[#This Row],[Date of Birth]],TODAY(),"Y")</f>
        <v>24</v>
      </c>
      <c r="H137" t="s">
        <v>130</v>
      </c>
      <c r="I137">
        <v>2020</v>
      </c>
      <c r="J137" t="s">
        <v>34</v>
      </c>
      <c r="K137" t="s">
        <v>35</v>
      </c>
      <c r="N137" t="s">
        <v>373</v>
      </c>
      <c r="O137" t="s">
        <v>37</v>
      </c>
      <c r="P137">
        <v>3</v>
      </c>
      <c r="Q137" t="s">
        <v>58</v>
      </c>
      <c r="R137" t="s">
        <v>59</v>
      </c>
      <c r="S137" t="s">
        <v>29</v>
      </c>
      <c r="T137" t="s">
        <v>41</v>
      </c>
      <c r="U137">
        <v>59</v>
      </c>
      <c r="V137">
        <v>59</v>
      </c>
      <c r="W137">
        <v>32</v>
      </c>
      <c r="X137" s="2">
        <f>AVERAGE(Query1[[#This Row],[Assignment 1 Score]],Query1[[#This Row],[Assignment 2 Score]],Query1[[#This Row],[Midterm Exam Score]])</f>
        <v>50</v>
      </c>
      <c r="Y137" t="str" cm="1">
        <f t="array" ref="Y13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37" s="3">
        <f>Query1[[#This Row],[Final Score]]*5/100</f>
        <v>2.5</v>
      </c>
      <c r="AA137" s="4">
        <v>0.84675</v>
      </c>
      <c r="AB137" s="4"/>
      <c r="AC137" s="5">
        <v>12128</v>
      </c>
      <c r="AD137" s="5">
        <v>0</v>
      </c>
      <c r="AE137" s="5">
        <f>Query1[[#This Row],[Tuition Fee]]-Query1[[#This Row],[Scholarship Amount]]</f>
        <v>12128</v>
      </c>
      <c r="AF137" t="s">
        <v>31</v>
      </c>
    </row>
    <row r="138" spans="1:32" x14ac:dyDescent="0.35">
      <c r="A138" t="s">
        <v>374</v>
      </c>
      <c r="B138" t="s">
        <v>888</v>
      </c>
      <c r="C138" t="s">
        <v>1225</v>
      </c>
      <c r="D138" t="str">
        <f>LEFT(Query1[[#This Row],[First Name]],1) &amp; "." &amp; Query1[[#This Row],[Last Name]] &amp; "@university.edu"</f>
        <v>C.Ackred@university.edu</v>
      </c>
      <c r="E138" t="s">
        <v>32</v>
      </c>
      <c r="F138" s="1">
        <v>37166</v>
      </c>
      <c r="G138" s="2">
        <f ca="1">DATEDIF(Query1[[#This Row],[Date of Birth]],TODAY(),"Y")</f>
        <v>24</v>
      </c>
      <c r="H138" t="s">
        <v>33</v>
      </c>
      <c r="I138">
        <v>2021</v>
      </c>
      <c r="J138" t="s">
        <v>45</v>
      </c>
      <c r="K138" t="s">
        <v>131</v>
      </c>
      <c r="N138" t="s">
        <v>375</v>
      </c>
      <c r="O138" t="s">
        <v>133</v>
      </c>
      <c r="P138">
        <v>3</v>
      </c>
      <c r="Q138" t="s">
        <v>67</v>
      </c>
      <c r="R138" t="s">
        <v>68</v>
      </c>
      <c r="S138" t="s">
        <v>40</v>
      </c>
      <c r="T138" t="s">
        <v>51</v>
      </c>
      <c r="U138">
        <v>83</v>
      </c>
      <c r="V138">
        <v>79</v>
      </c>
      <c r="W138">
        <v>44</v>
      </c>
      <c r="X138" s="2">
        <f>AVERAGE(Query1[[#This Row],[Assignment 1 Score]],Query1[[#This Row],[Assignment 2 Score]],Query1[[#This Row],[Midterm Exam Score]])</f>
        <v>68.666666666666671</v>
      </c>
      <c r="Y138" t="str" cm="1">
        <f t="array" ref="Y13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38" s="3">
        <f>Query1[[#This Row],[Final Score]]*5/100</f>
        <v>3.4333333333333336</v>
      </c>
      <c r="AA138" s="4">
        <v>0.88974999999999993</v>
      </c>
      <c r="AB138" s="4"/>
      <c r="AC138" s="5">
        <v>13151</v>
      </c>
      <c r="AD138" s="5">
        <v>1000</v>
      </c>
      <c r="AE138" s="5">
        <f>Query1[[#This Row],[Tuition Fee]]-Query1[[#This Row],[Scholarship Amount]]</f>
        <v>12151</v>
      </c>
      <c r="AF138" t="s">
        <v>31</v>
      </c>
    </row>
    <row r="139" spans="1:32" x14ac:dyDescent="0.35">
      <c r="A139" t="s">
        <v>376</v>
      </c>
      <c r="B139" t="s">
        <v>889</v>
      </c>
      <c r="C139" t="s">
        <v>1226</v>
      </c>
      <c r="D139" t="str">
        <f>LEFT(Query1[[#This Row],[First Name]],1) &amp; "." &amp; Query1[[#This Row],[Last Name]] &amp; "@university.edu"</f>
        <v>K.Keeble@university.edu</v>
      </c>
      <c r="E139" t="s">
        <v>43</v>
      </c>
      <c r="F139" s="1">
        <v>37176</v>
      </c>
      <c r="G139" s="2">
        <f ca="1">DATEDIF(Query1[[#This Row],[Date of Birth]],TODAY(),"Y")</f>
        <v>24</v>
      </c>
      <c r="H139" t="s">
        <v>44</v>
      </c>
      <c r="I139">
        <v>2022</v>
      </c>
      <c r="J139" t="s">
        <v>54</v>
      </c>
      <c r="K139" t="s">
        <v>135</v>
      </c>
      <c r="N139" t="s">
        <v>377</v>
      </c>
      <c r="O139" t="s">
        <v>137</v>
      </c>
      <c r="P139">
        <v>3</v>
      </c>
      <c r="Q139" t="s">
        <v>76</v>
      </c>
      <c r="R139" t="s">
        <v>77</v>
      </c>
      <c r="S139" t="s">
        <v>29</v>
      </c>
      <c r="T139" t="s">
        <v>30</v>
      </c>
      <c r="U139">
        <v>62</v>
      </c>
      <c r="V139">
        <v>64</v>
      </c>
      <c r="W139">
        <v>70</v>
      </c>
      <c r="X139" s="2">
        <f>AVERAGE(Query1[[#This Row],[Assignment 1 Score]],Query1[[#This Row],[Assignment 2 Score]],Query1[[#This Row],[Midterm Exam Score]])</f>
        <v>65.333333333333329</v>
      </c>
      <c r="Y139" t="str" cm="1">
        <f t="array" ref="Y13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139" s="3">
        <f>Query1[[#This Row],[Final Score]]*5/100</f>
        <v>3.2666666666666662</v>
      </c>
      <c r="AA139" s="4">
        <v>0.84149999999999991</v>
      </c>
      <c r="AB139" s="4"/>
      <c r="AC139" s="5">
        <v>11174</v>
      </c>
      <c r="AD139" s="5">
        <v>2000</v>
      </c>
      <c r="AE139" s="5">
        <f>Query1[[#This Row],[Tuition Fee]]-Query1[[#This Row],[Scholarship Amount]]</f>
        <v>9174</v>
      </c>
      <c r="AF139" t="s">
        <v>60</v>
      </c>
    </row>
    <row r="140" spans="1:32" x14ac:dyDescent="0.35">
      <c r="A140" t="s">
        <v>378</v>
      </c>
      <c r="B140" t="s">
        <v>890</v>
      </c>
      <c r="C140" t="s">
        <v>1227</v>
      </c>
      <c r="D140" t="str">
        <f>LEFT(Query1[[#This Row],[First Name]],1) &amp; "." &amp; Query1[[#This Row],[Last Name]] &amp; "@university.edu"</f>
        <v>S.Rymour@university.edu</v>
      </c>
      <c r="E140" t="s">
        <v>32</v>
      </c>
      <c r="F140" s="1">
        <v>37186</v>
      </c>
      <c r="G140" s="2">
        <f ca="1">DATEDIF(Query1[[#This Row],[Date of Birth]],TODAY(),"Y")</f>
        <v>24</v>
      </c>
      <c r="H140" t="s">
        <v>53</v>
      </c>
      <c r="I140">
        <v>2023</v>
      </c>
      <c r="J140" t="s">
        <v>63</v>
      </c>
      <c r="K140" t="s">
        <v>64</v>
      </c>
      <c r="N140" t="s">
        <v>379</v>
      </c>
      <c r="O140" t="s">
        <v>66</v>
      </c>
      <c r="P140">
        <v>5</v>
      </c>
      <c r="Q140" t="s">
        <v>82</v>
      </c>
      <c r="R140" t="s">
        <v>83</v>
      </c>
      <c r="S140" t="s">
        <v>40</v>
      </c>
      <c r="T140" t="s">
        <v>69</v>
      </c>
      <c r="U140">
        <v>76</v>
      </c>
      <c r="V140">
        <v>76</v>
      </c>
      <c r="W140">
        <v>34</v>
      </c>
      <c r="X140" s="2">
        <f>AVERAGE(Query1[[#This Row],[Assignment 1 Score]],Query1[[#This Row],[Assignment 2 Score]],Query1[[#This Row],[Midterm Exam Score]])</f>
        <v>62</v>
      </c>
      <c r="Y140" t="str" cm="1">
        <f t="array" ref="Y14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140" s="3">
        <f>Query1[[#This Row],[Final Score]]*5/100</f>
        <v>3.1</v>
      </c>
      <c r="AA140" s="4">
        <v>0.88974999999999993</v>
      </c>
      <c r="AB140" s="4"/>
      <c r="AC140" s="5">
        <v>15197</v>
      </c>
      <c r="AD140" s="5">
        <v>1000</v>
      </c>
      <c r="AE140" s="5">
        <f>Query1[[#This Row],[Tuition Fee]]-Query1[[#This Row],[Scholarship Amount]]</f>
        <v>14197</v>
      </c>
      <c r="AF140" t="s">
        <v>31</v>
      </c>
    </row>
    <row r="141" spans="1:32" x14ac:dyDescent="0.35">
      <c r="A141" t="s">
        <v>380</v>
      </c>
      <c r="B141" t="s">
        <v>891</v>
      </c>
      <c r="C141" t="s">
        <v>1228</v>
      </c>
      <c r="D141" t="str">
        <f>LEFT(Query1[[#This Row],[First Name]],1) &amp; "." &amp; Query1[[#This Row],[Last Name]] &amp; "@university.edu"</f>
        <v>R.Leigh@university.edu</v>
      </c>
      <c r="E141" t="s">
        <v>43</v>
      </c>
      <c r="F141" s="1">
        <v>37196</v>
      </c>
      <c r="G141" s="2">
        <f ca="1">DATEDIF(Query1[[#This Row],[Date of Birth]],TODAY(),"Y")</f>
        <v>24</v>
      </c>
      <c r="H141" t="s">
        <v>62</v>
      </c>
      <c r="I141">
        <v>2019</v>
      </c>
      <c r="J141" t="s">
        <v>72</v>
      </c>
      <c r="K141" t="s">
        <v>73</v>
      </c>
      <c r="N141" t="s">
        <v>381</v>
      </c>
      <c r="O141" t="s">
        <v>75</v>
      </c>
      <c r="P141">
        <v>4</v>
      </c>
      <c r="Q141" t="s">
        <v>89</v>
      </c>
      <c r="R141" t="s">
        <v>90</v>
      </c>
      <c r="S141" t="s">
        <v>29</v>
      </c>
      <c r="T141" t="s">
        <v>78</v>
      </c>
      <c r="U141">
        <v>55</v>
      </c>
      <c r="V141">
        <v>61</v>
      </c>
      <c r="W141">
        <v>40</v>
      </c>
      <c r="X141" s="2">
        <f>AVERAGE(Query1[[#This Row],[Assignment 1 Score]],Query1[[#This Row],[Assignment 2 Score]],Query1[[#This Row],[Midterm Exam Score]])</f>
        <v>52</v>
      </c>
      <c r="Y141" t="str" cm="1">
        <f t="array" ref="Y14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41" s="3">
        <f>Query1[[#This Row],[Final Score]]*5/100</f>
        <v>2.6</v>
      </c>
      <c r="AA141" s="4">
        <v>0.84149999999999991</v>
      </c>
      <c r="AB141" s="4"/>
      <c r="AC141" s="5">
        <v>12720</v>
      </c>
      <c r="AD141" s="5">
        <v>0</v>
      </c>
      <c r="AE141" s="5">
        <f>Query1[[#This Row],[Tuition Fee]]-Query1[[#This Row],[Scholarship Amount]]</f>
        <v>12720</v>
      </c>
      <c r="AF141" t="s">
        <v>31</v>
      </c>
    </row>
    <row r="142" spans="1:32" x14ac:dyDescent="0.35">
      <c r="A142" t="s">
        <v>382</v>
      </c>
      <c r="B142" t="s">
        <v>892</v>
      </c>
      <c r="C142" t="s">
        <v>1229</v>
      </c>
      <c r="D142" t="str">
        <f>LEFT(Query1[[#This Row],[First Name]],1) &amp; "." &amp; Query1[[#This Row],[Last Name]] &amp; "@university.edu"</f>
        <v>E.Rubin@university.edu</v>
      </c>
      <c r="E142" t="s">
        <v>32</v>
      </c>
      <c r="F142" s="1">
        <v>37206</v>
      </c>
      <c r="G142" s="2">
        <f ca="1">DATEDIF(Query1[[#This Row],[Date of Birth]],TODAY(),"Y")</f>
        <v>24</v>
      </c>
      <c r="H142" t="s">
        <v>71</v>
      </c>
      <c r="I142">
        <v>2020</v>
      </c>
      <c r="J142" t="s">
        <v>34</v>
      </c>
      <c r="K142" t="s">
        <v>35</v>
      </c>
      <c r="N142" t="s">
        <v>383</v>
      </c>
      <c r="O142" t="s">
        <v>37</v>
      </c>
      <c r="P142">
        <v>3</v>
      </c>
      <c r="Q142" t="s">
        <v>38</v>
      </c>
      <c r="R142" t="s">
        <v>39</v>
      </c>
      <c r="S142" t="s">
        <v>40</v>
      </c>
      <c r="T142" t="s">
        <v>41</v>
      </c>
      <c r="U142">
        <v>79</v>
      </c>
      <c r="V142">
        <v>81</v>
      </c>
      <c r="W142">
        <v>34</v>
      </c>
      <c r="X142" s="2">
        <f>AVERAGE(Query1[[#This Row],[Assignment 1 Score]],Query1[[#This Row],[Assignment 2 Score]],Query1[[#This Row],[Midterm Exam Score]])</f>
        <v>64.666666666666671</v>
      </c>
      <c r="Y142" t="str" cm="1">
        <f t="array" ref="Y14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142" s="3">
        <f>Query1[[#This Row],[Final Score]]*5/100</f>
        <v>3.2333333333333338</v>
      </c>
      <c r="AA142" s="4">
        <v>0.90449999999999997</v>
      </c>
      <c r="AB142" s="4"/>
      <c r="AC142" s="5">
        <v>12243</v>
      </c>
      <c r="AD142" s="5">
        <v>2000</v>
      </c>
      <c r="AE142" s="5">
        <f>Query1[[#This Row],[Tuition Fee]]-Query1[[#This Row],[Scholarship Amount]]</f>
        <v>10243</v>
      </c>
      <c r="AF142" t="s">
        <v>60</v>
      </c>
    </row>
    <row r="143" spans="1:32" x14ac:dyDescent="0.35">
      <c r="A143" t="s">
        <v>384</v>
      </c>
      <c r="B143" t="s">
        <v>893</v>
      </c>
      <c r="C143" t="s">
        <v>1230</v>
      </c>
      <c r="D143" t="str">
        <f>LEFT(Query1[[#This Row],[First Name]],1) &amp; "." &amp; Query1[[#This Row],[Last Name]] &amp; "@university.edu"</f>
        <v>F.Toffel@university.edu</v>
      </c>
      <c r="E143" t="s">
        <v>43</v>
      </c>
      <c r="F143" s="1">
        <v>37216</v>
      </c>
      <c r="G143" s="2">
        <f ca="1">DATEDIF(Query1[[#This Row],[Date of Birth]],TODAY(),"Y")</f>
        <v>24</v>
      </c>
      <c r="H143" t="s">
        <v>80</v>
      </c>
      <c r="I143">
        <v>2021</v>
      </c>
      <c r="J143" t="s">
        <v>45</v>
      </c>
      <c r="K143" t="s">
        <v>46</v>
      </c>
      <c r="N143" t="s">
        <v>385</v>
      </c>
      <c r="O143" t="s">
        <v>48</v>
      </c>
      <c r="P143">
        <v>3</v>
      </c>
      <c r="Q143" t="s">
        <v>49</v>
      </c>
      <c r="R143" t="s">
        <v>50</v>
      </c>
      <c r="S143" t="s">
        <v>29</v>
      </c>
      <c r="T143" t="s">
        <v>51</v>
      </c>
      <c r="U143">
        <v>93</v>
      </c>
      <c r="V143">
        <v>93</v>
      </c>
      <c r="W143">
        <v>56</v>
      </c>
      <c r="X143" s="2">
        <f>AVERAGE(Query1[[#This Row],[Assignment 1 Score]],Query1[[#This Row],[Assignment 2 Score]],Query1[[#This Row],[Midterm Exam Score]])</f>
        <v>80.666666666666671</v>
      </c>
      <c r="Y143" t="str" cm="1">
        <f t="array" ref="Y14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143" s="3">
        <f>Query1[[#This Row],[Final Score]]*5/100</f>
        <v>4.0333333333333341</v>
      </c>
      <c r="AA143" s="4">
        <v>0.94074999999999998</v>
      </c>
      <c r="AB143" s="4"/>
      <c r="AC143" s="5">
        <v>13266</v>
      </c>
      <c r="AD143" s="5">
        <v>1000</v>
      </c>
      <c r="AE143" s="5">
        <f>Query1[[#This Row],[Tuition Fee]]-Query1[[#This Row],[Scholarship Amount]]</f>
        <v>12266</v>
      </c>
      <c r="AF143" t="s">
        <v>31</v>
      </c>
    </row>
    <row r="144" spans="1:32" x14ac:dyDescent="0.35">
      <c r="A144" t="s">
        <v>386</v>
      </c>
      <c r="B144" t="s">
        <v>894</v>
      </c>
      <c r="C144" t="s">
        <v>1231</v>
      </c>
      <c r="D144" t="str">
        <f>LEFT(Query1[[#This Row],[First Name]],1) &amp; "." &amp; Query1[[#This Row],[Last Name]] &amp; "@university.edu"</f>
        <v>L.Godfray@university.edu</v>
      </c>
      <c r="E144" t="s">
        <v>32</v>
      </c>
      <c r="F144" s="1">
        <v>37226</v>
      </c>
      <c r="G144" s="2">
        <f ca="1">DATEDIF(Query1[[#This Row],[Date of Birth]],TODAY(),"Y")</f>
        <v>23</v>
      </c>
      <c r="H144" t="s">
        <v>85</v>
      </c>
      <c r="I144">
        <v>2022</v>
      </c>
      <c r="J144" t="s">
        <v>54</v>
      </c>
      <c r="K144" t="s">
        <v>55</v>
      </c>
      <c r="N144" t="s">
        <v>387</v>
      </c>
      <c r="O144" t="s">
        <v>57</v>
      </c>
      <c r="P144">
        <v>3</v>
      </c>
      <c r="Q144" t="s">
        <v>58</v>
      </c>
      <c r="R144" t="s">
        <v>59</v>
      </c>
      <c r="S144" t="s">
        <v>40</v>
      </c>
      <c r="T144" t="s">
        <v>30</v>
      </c>
      <c r="U144">
        <v>72</v>
      </c>
      <c r="V144">
        <v>78</v>
      </c>
      <c r="W144">
        <v>32</v>
      </c>
      <c r="X144" s="2">
        <f>AVERAGE(Query1[[#This Row],[Assignment 1 Score]],Query1[[#This Row],[Assignment 2 Score]],Query1[[#This Row],[Midterm Exam Score]])</f>
        <v>60.666666666666664</v>
      </c>
      <c r="Y144" t="str" cm="1">
        <f t="array" ref="Y14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44" s="3">
        <f>Query1[[#This Row],[Final Score]]*5/100</f>
        <v>3.0333333333333332</v>
      </c>
      <c r="AA144" s="4">
        <v>0.89249999999999996</v>
      </c>
      <c r="AB144" s="4"/>
      <c r="AC144" s="5">
        <v>11289</v>
      </c>
      <c r="AD144" s="5">
        <v>1000</v>
      </c>
      <c r="AE144" s="5">
        <f>Query1[[#This Row],[Tuition Fee]]-Query1[[#This Row],[Scholarship Amount]]</f>
        <v>10289</v>
      </c>
      <c r="AF144" t="s">
        <v>31</v>
      </c>
    </row>
    <row r="145" spans="1:32" x14ac:dyDescent="0.35">
      <c r="A145" t="s">
        <v>388</v>
      </c>
      <c r="B145" t="s">
        <v>895</v>
      </c>
      <c r="C145" t="s">
        <v>1232</v>
      </c>
      <c r="D145" t="str">
        <f>LEFT(Query1[[#This Row],[First Name]],1) &amp; "." &amp; Query1[[#This Row],[Last Name]] &amp; "@university.edu"</f>
        <v>M.Flucks@university.edu</v>
      </c>
      <c r="E145" t="s">
        <v>43</v>
      </c>
      <c r="F145" s="1">
        <v>37236</v>
      </c>
      <c r="G145" s="2">
        <f ca="1">DATEDIF(Query1[[#This Row],[Date of Birth]],TODAY(),"Y")</f>
        <v>23</v>
      </c>
      <c r="H145" t="s">
        <v>92</v>
      </c>
      <c r="I145">
        <v>2023</v>
      </c>
      <c r="J145" t="s">
        <v>63</v>
      </c>
      <c r="K145" t="s">
        <v>98</v>
      </c>
      <c r="N145" t="s">
        <v>389</v>
      </c>
      <c r="O145" t="s">
        <v>100</v>
      </c>
      <c r="P145">
        <v>5</v>
      </c>
      <c r="Q145" t="s">
        <v>67</v>
      </c>
      <c r="R145" t="s">
        <v>68</v>
      </c>
      <c r="S145" t="s">
        <v>29</v>
      </c>
      <c r="T145" t="s">
        <v>69</v>
      </c>
      <c r="U145">
        <v>96</v>
      </c>
      <c r="V145">
        <v>90</v>
      </c>
      <c r="W145">
        <v>44</v>
      </c>
      <c r="X145" s="2">
        <f>AVERAGE(Query1[[#This Row],[Assignment 1 Score]],Query1[[#This Row],[Assignment 2 Score]],Query1[[#This Row],[Midterm Exam Score]])</f>
        <v>76.666666666666671</v>
      </c>
      <c r="Y145" t="str" cm="1">
        <f t="array" ref="Y14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145" s="3">
        <f>Query1[[#This Row],[Final Score]]*5/100</f>
        <v>3.8333333333333339</v>
      </c>
      <c r="AA145" s="4">
        <v>0.9325</v>
      </c>
      <c r="AB145" s="4"/>
      <c r="AC145" s="5">
        <v>15312</v>
      </c>
      <c r="AD145" s="5">
        <v>0</v>
      </c>
      <c r="AE145" s="5">
        <f>Query1[[#This Row],[Tuition Fee]]-Query1[[#This Row],[Scholarship Amount]]</f>
        <v>15312</v>
      </c>
      <c r="AF145" t="s">
        <v>60</v>
      </c>
    </row>
    <row r="146" spans="1:32" x14ac:dyDescent="0.35">
      <c r="A146" t="s">
        <v>390</v>
      </c>
      <c r="B146" t="s">
        <v>896</v>
      </c>
      <c r="C146" t="s">
        <v>1233</v>
      </c>
      <c r="D146" t="str">
        <f>LEFT(Query1[[#This Row],[First Name]],1) &amp; "." &amp; Query1[[#This Row],[Last Name]] &amp; "@university.edu"</f>
        <v>T.Birk@university.edu</v>
      </c>
      <c r="E146" t="s">
        <v>32</v>
      </c>
      <c r="F146" s="1">
        <v>37246</v>
      </c>
      <c r="G146" s="2">
        <f ca="1">DATEDIF(Query1[[#This Row],[Date of Birth]],TODAY(),"Y")</f>
        <v>23</v>
      </c>
      <c r="H146" t="s">
        <v>97</v>
      </c>
      <c r="I146">
        <v>2019</v>
      </c>
      <c r="J146" t="s">
        <v>72</v>
      </c>
      <c r="K146" t="s">
        <v>73</v>
      </c>
      <c r="N146" t="s">
        <v>391</v>
      </c>
      <c r="O146" t="s">
        <v>75</v>
      </c>
      <c r="P146">
        <v>4</v>
      </c>
      <c r="Q146" t="s">
        <v>76</v>
      </c>
      <c r="R146" t="s">
        <v>77</v>
      </c>
      <c r="S146" t="s">
        <v>40</v>
      </c>
      <c r="T146" t="s">
        <v>78</v>
      </c>
      <c r="U146">
        <v>75</v>
      </c>
      <c r="V146">
        <v>75</v>
      </c>
      <c r="W146">
        <v>70</v>
      </c>
      <c r="X146" s="2">
        <f>AVERAGE(Query1[[#This Row],[Assignment 1 Score]],Query1[[#This Row],[Assignment 2 Score]],Query1[[#This Row],[Midterm Exam Score]])</f>
        <v>73.333333333333329</v>
      </c>
      <c r="Y146" t="str" cm="1">
        <f t="array" ref="Y14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46" s="3">
        <f>Query1[[#This Row],[Final Score]]*5/100</f>
        <v>3.6666666666666661</v>
      </c>
      <c r="AA146" s="4">
        <v>0.89624999999999999</v>
      </c>
      <c r="AB146" s="4"/>
      <c r="AC146" s="5">
        <v>12835</v>
      </c>
      <c r="AD146" s="5">
        <v>1000</v>
      </c>
      <c r="AE146" s="5">
        <f>Query1[[#This Row],[Tuition Fee]]-Query1[[#This Row],[Scholarship Amount]]</f>
        <v>11835</v>
      </c>
      <c r="AF146" t="s">
        <v>31</v>
      </c>
    </row>
    <row r="147" spans="1:32" x14ac:dyDescent="0.35">
      <c r="A147" t="s">
        <v>392</v>
      </c>
      <c r="B147" t="s">
        <v>897</v>
      </c>
      <c r="C147" t="s">
        <v>1234</v>
      </c>
      <c r="D147" t="str">
        <f>LEFT(Query1[[#This Row],[First Name]],1) &amp; "." &amp; Query1[[#This Row],[Last Name]] &amp; "@university.edu"</f>
        <v>E.Baytrop@university.edu</v>
      </c>
      <c r="E147" t="s">
        <v>43</v>
      </c>
      <c r="F147" s="1">
        <v>37256</v>
      </c>
      <c r="G147" s="2">
        <f ca="1">DATEDIF(Query1[[#This Row],[Date of Birth]],TODAY(),"Y")</f>
        <v>23</v>
      </c>
      <c r="H147" t="s">
        <v>102</v>
      </c>
      <c r="I147">
        <v>2020</v>
      </c>
      <c r="J147" t="s">
        <v>34</v>
      </c>
      <c r="K147" t="s">
        <v>35</v>
      </c>
      <c r="N147" t="s">
        <v>393</v>
      </c>
      <c r="O147" t="s">
        <v>37</v>
      </c>
      <c r="P147">
        <v>3</v>
      </c>
      <c r="Q147" t="s">
        <v>82</v>
      </c>
      <c r="R147" t="s">
        <v>83</v>
      </c>
      <c r="S147" t="s">
        <v>29</v>
      </c>
      <c r="T147" t="s">
        <v>41</v>
      </c>
      <c r="U147">
        <v>89</v>
      </c>
      <c r="V147">
        <v>95</v>
      </c>
      <c r="W147">
        <v>50</v>
      </c>
      <c r="X147" s="2">
        <f>AVERAGE(Query1[[#This Row],[Assignment 1 Score]],Query1[[#This Row],[Assignment 2 Score]],Query1[[#This Row],[Midterm Exam Score]])</f>
        <v>78</v>
      </c>
      <c r="Y147" t="str" cm="1">
        <f t="array" ref="Y14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147" s="3">
        <f>Query1[[#This Row],[Final Score]]*5/100</f>
        <v>3.9</v>
      </c>
      <c r="AA147" s="4">
        <v>0.9355</v>
      </c>
      <c r="AB147" s="4"/>
      <c r="AC147" s="5">
        <v>12358</v>
      </c>
      <c r="AD147" s="5">
        <v>1000</v>
      </c>
      <c r="AE147" s="5">
        <f>Query1[[#This Row],[Tuition Fee]]-Query1[[#This Row],[Scholarship Amount]]</f>
        <v>11358</v>
      </c>
      <c r="AF147" t="s">
        <v>31</v>
      </c>
    </row>
    <row r="148" spans="1:32" x14ac:dyDescent="0.35">
      <c r="A148" t="s">
        <v>394</v>
      </c>
      <c r="B148" t="s">
        <v>898</v>
      </c>
      <c r="C148" t="s">
        <v>1235</v>
      </c>
      <c r="D148" t="str">
        <f>LEFT(Query1[[#This Row],[First Name]],1) &amp; "." &amp; Query1[[#This Row],[Last Name]] &amp; "@university.edu"</f>
        <v>E.Qusklay@university.edu</v>
      </c>
      <c r="E148" t="s">
        <v>32</v>
      </c>
      <c r="F148" s="1">
        <v>37266</v>
      </c>
      <c r="G148" s="2">
        <f ca="1">DATEDIF(Query1[[#This Row],[Date of Birth]],TODAY(),"Y")</f>
        <v>23</v>
      </c>
      <c r="H148" t="s">
        <v>105</v>
      </c>
      <c r="I148">
        <v>2021</v>
      </c>
      <c r="J148" t="s">
        <v>45</v>
      </c>
      <c r="K148" t="s">
        <v>86</v>
      </c>
      <c r="N148" t="s">
        <v>395</v>
      </c>
      <c r="O148" t="s">
        <v>88</v>
      </c>
      <c r="P148">
        <v>3</v>
      </c>
      <c r="Q148" t="s">
        <v>89</v>
      </c>
      <c r="R148" t="s">
        <v>90</v>
      </c>
      <c r="S148" t="s">
        <v>40</v>
      </c>
      <c r="T148" t="s">
        <v>51</v>
      </c>
      <c r="U148">
        <v>78</v>
      </c>
      <c r="V148">
        <v>72</v>
      </c>
      <c r="W148">
        <v>60</v>
      </c>
      <c r="X148" s="2">
        <f>AVERAGE(Query1[[#This Row],[Assignment 1 Score]],Query1[[#This Row],[Assignment 2 Score]],Query1[[#This Row],[Midterm Exam Score]])</f>
        <v>70</v>
      </c>
      <c r="Y148" t="str" cm="1">
        <f t="array" ref="Y14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48" s="3">
        <f>Query1[[#This Row],[Final Score]]*5/100</f>
        <v>3.5</v>
      </c>
      <c r="AA148" s="4">
        <v>0.8879999999999999</v>
      </c>
      <c r="AB148" s="4"/>
      <c r="AC148" s="5">
        <v>13381</v>
      </c>
      <c r="AD148" s="5">
        <v>5000</v>
      </c>
      <c r="AE148" s="5">
        <f>Query1[[#This Row],[Tuition Fee]]-Query1[[#This Row],[Scholarship Amount]]</f>
        <v>8381</v>
      </c>
      <c r="AF148" t="s">
        <v>60</v>
      </c>
    </row>
    <row r="149" spans="1:32" x14ac:dyDescent="0.35">
      <c r="A149" t="s">
        <v>396</v>
      </c>
      <c r="B149" t="s">
        <v>899</v>
      </c>
      <c r="C149" t="s">
        <v>1236</v>
      </c>
      <c r="D149" t="str">
        <f>LEFT(Query1[[#This Row],[First Name]],1) &amp; "." &amp; Query1[[#This Row],[Last Name]] &amp; "@university.edu"</f>
        <v>O.McGhee@university.edu</v>
      </c>
      <c r="E149" t="s">
        <v>43</v>
      </c>
      <c r="F149" s="1">
        <v>37276</v>
      </c>
      <c r="G149" s="2">
        <f ca="1">DATEDIF(Query1[[#This Row],[Date of Birth]],TODAY(),"Y")</f>
        <v>23</v>
      </c>
      <c r="H149" t="s">
        <v>108</v>
      </c>
      <c r="I149">
        <v>2022</v>
      </c>
      <c r="J149" t="s">
        <v>54</v>
      </c>
      <c r="K149" t="s">
        <v>93</v>
      </c>
      <c r="N149" t="s">
        <v>397</v>
      </c>
      <c r="O149" t="s">
        <v>95</v>
      </c>
      <c r="P149">
        <v>3</v>
      </c>
      <c r="Q149" t="s">
        <v>38</v>
      </c>
      <c r="R149" t="s">
        <v>39</v>
      </c>
      <c r="S149" t="s">
        <v>29</v>
      </c>
      <c r="T149" t="s">
        <v>30</v>
      </c>
      <c r="U149">
        <v>92</v>
      </c>
      <c r="V149">
        <v>92</v>
      </c>
      <c r="W149">
        <v>87</v>
      </c>
      <c r="X149" s="2">
        <f>AVERAGE(Query1[[#This Row],[Assignment 1 Score]],Query1[[#This Row],[Assignment 2 Score]],Query1[[#This Row],[Midterm Exam Score]])</f>
        <v>90.333333333333329</v>
      </c>
      <c r="Y149" t="str" cm="1">
        <f t="array" ref="Y14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149" s="3">
        <f>Query1[[#This Row],[Final Score]]*5/100</f>
        <v>4.5166666666666666</v>
      </c>
      <c r="AA149" s="4">
        <v>0.92724999999999991</v>
      </c>
      <c r="AB149" s="4"/>
      <c r="AC149" s="5">
        <v>11404</v>
      </c>
      <c r="AD149" s="5">
        <v>0</v>
      </c>
      <c r="AE149" s="5">
        <f>Query1[[#This Row],[Tuition Fee]]-Query1[[#This Row],[Scholarship Amount]]</f>
        <v>11404</v>
      </c>
      <c r="AF149" t="s">
        <v>31</v>
      </c>
    </row>
    <row r="150" spans="1:32" x14ac:dyDescent="0.35">
      <c r="A150" t="s">
        <v>398</v>
      </c>
      <c r="B150" t="s">
        <v>900</v>
      </c>
      <c r="C150" t="s">
        <v>1237</v>
      </c>
      <c r="D150" t="str">
        <f>LEFT(Query1[[#This Row],[First Name]],1) &amp; "." &amp; Query1[[#This Row],[Last Name]] &amp; "@university.edu"</f>
        <v>G.Ebbutt@university.edu</v>
      </c>
      <c r="E150" t="s">
        <v>32</v>
      </c>
      <c r="F150" s="1">
        <v>37286</v>
      </c>
      <c r="G150" s="2">
        <f ca="1">DATEDIF(Query1[[#This Row],[Date of Birth]],TODAY(),"Y")</f>
        <v>23</v>
      </c>
      <c r="H150" t="s">
        <v>113</v>
      </c>
      <c r="I150">
        <v>2023</v>
      </c>
      <c r="J150" t="s">
        <v>63</v>
      </c>
      <c r="K150" t="s">
        <v>120</v>
      </c>
      <c r="N150" t="s">
        <v>399</v>
      </c>
      <c r="O150" t="s">
        <v>122</v>
      </c>
      <c r="P150">
        <v>5</v>
      </c>
      <c r="Q150" t="s">
        <v>49</v>
      </c>
      <c r="R150" t="s">
        <v>50</v>
      </c>
      <c r="S150" t="s">
        <v>40</v>
      </c>
      <c r="T150" t="s">
        <v>69</v>
      </c>
      <c r="U150">
        <v>50</v>
      </c>
      <c r="V150">
        <v>77</v>
      </c>
      <c r="W150">
        <v>66</v>
      </c>
      <c r="X150" s="2">
        <f>AVERAGE(Query1[[#This Row],[Assignment 1 Score]],Query1[[#This Row],[Assignment 2 Score]],Query1[[#This Row],[Midterm Exam Score]])</f>
        <v>64.333333333333329</v>
      </c>
      <c r="Y150" t="str" cm="1">
        <f t="array" ref="Y15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150" s="3">
        <f>Query1[[#This Row],[Final Score]]*5/100</f>
        <v>3.2166666666666663</v>
      </c>
      <c r="AA150" s="4">
        <v>0.879</v>
      </c>
      <c r="AB150" s="4"/>
      <c r="AC150" s="5">
        <v>15427</v>
      </c>
      <c r="AD150" s="5">
        <v>1000</v>
      </c>
      <c r="AE150" s="5">
        <f>Query1[[#This Row],[Tuition Fee]]-Query1[[#This Row],[Scholarship Amount]]</f>
        <v>14427</v>
      </c>
      <c r="AF150" t="s">
        <v>31</v>
      </c>
    </row>
    <row r="151" spans="1:32" x14ac:dyDescent="0.35">
      <c r="A151" t="s">
        <v>400</v>
      </c>
      <c r="B151" t="s">
        <v>775</v>
      </c>
      <c r="C151" t="s">
        <v>1238</v>
      </c>
      <c r="D151" t="str">
        <f>LEFT(Query1[[#This Row],[First Name]],1) &amp; "." &amp; Query1[[#This Row],[Last Name]] &amp; "@university.edu"</f>
        <v>G.Gilffilland@university.edu</v>
      </c>
      <c r="E151" t="s">
        <v>43</v>
      </c>
      <c r="F151" s="1">
        <v>37296</v>
      </c>
      <c r="G151" s="2">
        <f ca="1">DATEDIF(Query1[[#This Row],[Date of Birth]],TODAY(),"Y")</f>
        <v>23</v>
      </c>
      <c r="H151" t="s">
        <v>119</v>
      </c>
      <c r="I151">
        <v>2019</v>
      </c>
      <c r="J151" t="s">
        <v>72</v>
      </c>
      <c r="K151" t="s">
        <v>73</v>
      </c>
      <c r="N151" t="s">
        <v>401</v>
      </c>
      <c r="O151" t="s">
        <v>75</v>
      </c>
      <c r="P151">
        <v>4</v>
      </c>
      <c r="Q151" t="s">
        <v>58</v>
      </c>
      <c r="R151" t="s">
        <v>59</v>
      </c>
      <c r="S151" t="s">
        <v>29</v>
      </c>
      <c r="T151" t="s">
        <v>78</v>
      </c>
      <c r="U151">
        <v>60</v>
      </c>
      <c r="V151">
        <v>50</v>
      </c>
      <c r="W151">
        <v>96</v>
      </c>
      <c r="X151" s="2">
        <f>AVERAGE(Query1[[#This Row],[Assignment 1 Score]],Query1[[#This Row],[Assignment 2 Score]],Query1[[#This Row],[Midterm Exam Score]])</f>
        <v>68.666666666666671</v>
      </c>
      <c r="Y151" t="str" cm="1">
        <f t="array" ref="Y15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51" s="3">
        <f>Query1[[#This Row],[Final Score]]*5/100</f>
        <v>3.4333333333333336</v>
      </c>
      <c r="AA151" s="4">
        <v>0.92724999999999991</v>
      </c>
      <c r="AB151" s="4"/>
      <c r="AC151" s="5">
        <v>12950</v>
      </c>
      <c r="AD151" s="5">
        <v>2000</v>
      </c>
      <c r="AE151" s="5">
        <f>Query1[[#This Row],[Tuition Fee]]-Query1[[#This Row],[Scholarship Amount]]</f>
        <v>10950</v>
      </c>
      <c r="AF151" t="s">
        <v>60</v>
      </c>
    </row>
    <row r="152" spans="1:32" x14ac:dyDescent="0.35">
      <c r="A152" t="s">
        <v>402</v>
      </c>
      <c r="B152" t="s">
        <v>901</v>
      </c>
      <c r="C152" t="s">
        <v>1239</v>
      </c>
      <c r="D152" t="str">
        <f>LEFT(Query1[[#This Row],[First Name]],1) &amp; "." &amp; Query1[[#This Row],[Last Name]] &amp; "@university.edu"</f>
        <v>E.Flello@university.edu</v>
      </c>
      <c r="E152" t="s">
        <v>32</v>
      </c>
      <c r="F152" s="1">
        <v>37306</v>
      </c>
      <c r="G152" s="2">
        <f ca="1">DATEDIF(Query1[[#This Row],[Date of Birth]],TODAY(),"Y")</f>
        <v>23</v>
      </c>
      <c r="H152" t="s">
        <v>124</v>
      </c>
      <c r="I152">
        <v>2020</v>
      </c>
      <c r="J152" t="s">
        <v>34</v>
      </c>
      <c r="K152" t="s">
        <v>35</v>
      </c>
      <c r="N152" t="s">
        <v>403</v>
      </c>
      <c r="O152" t="s">
        <v>37</v>
      </c>
      <c r="P152">
        <v>3</v>
      </c>
      <c r="Q152" t="s">
        <v>67</v>
      </c>
      <c r="R152" t="s">
        <v>68</v>
      </c>
      <c r="S152" t="s">
        <v>40</v>
      </c>
      <c r="T152" t="s">
        <v>41</v>
      </c>
      <c r="U152">
        <v>41</v>
      </c>
      <c r="V152">
        <v>60</v>
      </c>
      <c r="W152">
        <v>75</v>
      </c>
      <c r="X152" s="2">
        <f>AVERAGE(Query1[[#This Row],[Assignment 1 Score]],Query1[[#This Row],[Assignment 2 Score]],Query1[[#This Row],[Midterm Exam Score]])</f>
        <v>58.666666666666664</v>
      </c>
      <c r="Y152" t="str" cm="1">
        <f t="array" ref="Y15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52" s="3">
        <f>Query1[[#This Row],[Final Score]]*5/100</f>
        <v>2.9333333333333331</v>
      </c>
      <c r="AA152" s="4">
        <v>0.88274999999999992</v>
      </c>
      <c r="AB152" s="4"/>
      <c r="AC152" s="5">
        <v>12473</v>
      </c>
      <c r="AD152" s="5">
        <v>1000</v>
      </c>
      <c r="AE152" s="5">
        <f>Query1[[#This Row],[Tuition Fee]]-Query1[[#This Row],[Scholarship Amount]]</f>
        <v>11473</v>
      </c>
      <c r="AF152" t="s">
        <v>31</v>
      </c>
    </row>
    <row r="153" spans="1:32" x14ac:dyDescent="0.35">
      <c r="A153" t="s">
        <v>404</v>
      </c>
      <c r="B153" t="s">
        <v>902</v>
      </c>
      <c r="C153" t="s">
        <v>1240</v>
      </c>
      <c r="D153" t="str">
        <f>LEFT(Query1[[#This Row],[First Name]],1) &amp; "." &amp; Query1[[#This Row],[Last Name]] &amp; "@university.edu"</f>
        <v>A.Clunan@university.edu</v>
      </c>
      <c r="E153" t="s">
        <v>43</v>
      </c>
      <c r="F153" s="1">
        <v>37316</v>
      </c>
      <c r="G153" s="2">
        <f ca="1">DATEDIF(Query1[[#This Row],[Date of Birth]],TODAY(),"Y")</f>
        <v>23</v>
      </c>
      <c r="H153" t="s">
        <v>127</v>
      </c>
      <c r="I153">
        <v>2021</v>
      </c>
      <c r="J153" t="s">
        <v>45</v>
      </c>
      <c r="K153" t="s">
        <v>109</v>
      </c>
      <c r="N153" t="s">
        <v>405</v>
      </c>
      <c r="O153" t="s">
        <v>111</v>
      </c>
      <c r="P153">
        <v>3</v>
      </c>
      <c r="Q153" t="s">
        <v>76</v>
      </c>
      <c r="R153" t="s">
        <v>77</v>
      </c>
      <c r="S153" t="s">
        <v>29</v>
      </c>
      <c r="T153" t="s">
        <v>51</v>
      </c>
      <c r="U153">
        <v>38</v>
      </c>
      <c r="V153">
        <v>41</v>
      </c>
      <c r="W153">
        <v>89</v>
      </c>
      <c r="X153" s="2">
        <f>AVERAGE(Query1[[#This Row],[Assignment 1 Score]],Query1[[#This Row],[Assignment 2 Score]],Query1[[#This Row],[Midterm Exam Score]])</f>
        <v>56</v>
      </c>
      <c r="Y153" t="str" cm="1">
        <f t="array" ref="Y15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53" s="3">
        <f>Query1[[#This Row],[Final Score]]*5/100</f>
        <v>2.8</v>
      </c>
      <c r="AA153" s="4">
        <v>0.91899999999999993</v>
      </c>
      <c r="AB153" s="4"/>
      <c r="AC153" s="5">
        <v>13496</v>
      </c>
      <c r="AD153" s="5">
        <v>0</v>
      </c>
      <c r="AE153" s="5">
        <f>Query1[[#This Row],[Tuition Fee]]-Query1[[#This Row],[Scholarship Amount]]</f>
        <v>13496</v>
      </c>
      <c r="AF153" t="s">
        <v>31</v>
      </c>
    </row>
    <row r="154" spans="1:32" x14ac:dyDescent="0.35">
      <c r="A154" t="s">
        <v>406</v>
      </c>
      <c r="B154" t="s">
        <v>903</v>
      </c>
      <c r="C154" t="s">
        <v>1241</v>
      </c>
      <c r="D154" t="str">
        <f>LEFT(Query1[[#This Row],[First Name]],1) &amp; "." &amp; Query1[[#This Row],[Last Name]] &amp; "@university.edu"</f>
        <v>L.Winwood@university.edu</v>
      </c>
      <c r="E154" t="s">
        <v>32</v>
      </c>
      <c r="F154" s="1">
        <v>37326</v>
      </c>
      <c r="G154" s="2">
        <f ca="1">DATEDIF(Query1[[#This Row],[Date of Birth]],TODAY(),"Y")</f>
        <v>23</v>
      </c>
      <c r="H154" t="s">
        <v>130</v>
      </c>
      <c r="I154">
        <v>2022</v>
      </c>
      <c r="J154" t="s">
        <v>54</v>
      </c>
      <c r="K154" t="s">
        <v>114</v>
      </c>
      <c r="N154" t="s">
        <v>407</v>
      </c>
      <c r="O154" t="s">
        <v>116</v>
      </c>
      <c r="P154">
        <v>3</v>
      </c>
      <c r="Q154" t="s">
        <v>82</v>
      </c>
      <c r="R154" t="s">
        <v>83</v>
      </c>
      <c r="S154" t="s">
        <v>40</v>
      </c>
      <c r="T154" t="s">
        <v>30</v>
      </c>
      <c r="U154">
        <v>59</v>
      </c>
      <c r="V154">
        <v>38</v>
      </c>
      <c r="W154">
        <v>68</v>
      </c>
      <c r="X154" s="2">
        <f>AVERAGE(Query1[[#This Row],[Assignment 1 Score]],Query1[[#This Row],[Assignment 2 Score]],Query1[[#This Row],[Midterm Exam Score]])</f>
        <v>55</v>
      </c>
      <c r="Y154" t="str" cm="1">
        <f t="array" ref="Y15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54" s="3">
        <f>Query1[[#This Row],[Final Score]]*5/100</f>
        <v>2.75</v>
      </c>
      <c r="AA154" s="4">
        <v>0.87074999999999991</v>
      </c>
      <c r="AB154" s="4"/>
      <c r="AC154" s="5">
        <v>11019</v>
      </c>
      <c r="AD154" s="5">
        <v>2000</v>
      </c>
      <c r="AE154" s="5">
        <f>Query1[[#This Row],[Tuition Fee]]-Query1[[#This Row],[Scholarship Amount]]</f>
        <v>9019</v>
      </c>
      <c r="AF154" t="s">
        <v>60</v>
      </c>
    </row>
    <row r="155" spans="1:32" x14ac:dyDescent="0.35">
      <c r="A155" t="s">
        <v>408</v>
      </c>
      <c r="B155" t="s">
        <v>904</v>
      </c>
      <c r="C155" t="s">
        <v>1242</v>
      </c>
      <c r="D155" t="str">
        <f>LEFT(Query1[[#This Row],[First Name]],1) &amp; "." &amp; Query1[[#This Row],[Last Name]] &amp; "@university.edu"</f>
        <v>S.Galley@university.edu</v>
      </c>
      <c r="E155" t="s">
        <v>43</v>
      </c>
      <c r="F155" s="1">
        <v>37336</v>
      </c>
      <c r="G155" s="2">
        <f ca="1">DATEDIF(Query1[[#This Row],[Date of Birth]],TODAY(),"Y")</f>
        <v>23</v>
      </c>
      <c r="H155" t="s">
        <v>33</v>
      </c>
      <c r="I155">
        <v>2023</v>
      </c>
      <c r="J155" t="s">
        <v>63</v>
      </c>
      <c r="K155" t="s">
        <v>64</v>
      </c>
      <c r="N155" t="s">
        <v>409</v>
      </c>
      <c r="O155" t="s">
        <v>66</v>
      </c>
      <c r="P155">
        <v>5</v>
      </c>
      <c r="Q155" t="s">
        <v>89</v>
      </c>
      <c r="R155" t="s">
        <v>90</v>
      </c>
      <c r="S155" t="s">
        <v>29</v>
      </c>
      <c r="T155" t="s">
        <v>69</v>
      </c>
      <c r="U155">
        <v>40</v>
      </c>
      <c r="V155">
        <v>59</v>
      </c>
      <c r="W155">
        <v>82</v>
      </c>
      <c r="X155" s="2">
        <f>AVERAGE(Query1[[#This Row],[Assignment 1 Score]],Query1[[#This Row],[Assignment 2 Score]],Query1[[#This Row],[Midterm Exam Score]])</f>
        <v>60.333333333333336</v>
      </c>
      <c r="Y155" t="str" cm="1">
        <f t="array" ref="Y15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55" s="3">
        <f>Query1[[#This Row],[Final Score]]*5/100</f>
        <v>3.0166666666666671</v>
      </c>
      <c r="AA155" s="4">
        <v>0.91374999999999995</v>
      </c>
      <c r="AB155" s="4"/>
      <c r="AC155" s="5">
        <v>15042</v>
      </c>
      <c r="AD155" s="5">
        <v>5000</v>
      </c>
      <c r="AE155" s="5">
        <f>Query1[[#This Row],[Tuition Fee]]-Query1[[#This Row],[Scholarship Amount]]</f>
        <v>10042</v>
      </c>
      <c r="AF155" t="s">
        <v>31</v>
      </c>
    </row>
    <row r="156" spans="1:32" x14ac:dyDescent="0.35">
      <c r="A156" t="s">
        <v>410</v>
      </c>
      <c r="B156" t="s">
        <v>905</v>
      </c>
      <c r="C156" t="s">
        <v>1243</v>
      </c>
      <c r="D156" t="str">
        <f>LEFT(Query1[[#This Row],[First Name]],1) &amp; "." &amp; Query1[[#This Row],[Last Name]] &amp; "@university.edu"</f>
        <v>N.Charopen@university.edu</v>
      </c>
      <c r="E156" t="s">
        <v>32</v>
      </c>
      <c r="F156" s="1">
        <v>37346</v>
      </c>
      <c r="G156" s="2">
        <f ca="1">DATEDIF(Query1[[#This Row],[Date of Birth]],TODAY(),"Y")</f>
        <v>23</v>
      </c>
      <c r="H156" t="s">
        <v>44</v>
      </c>
      <c r="I156">
        <v>2019</v>
      </c>
      <c r="J156" t="s">
        <v>72</v>
      </c>
      <c r="K156" t="s">
        <v>73</v>
      </c>
      <c r="N156" t="s">
        <v>411</v>
      </c>
      <c r="O156" t="s">
        <v>75</v>
      </c>
      <c r="P156">
        <v>4</v>
      </c>
      <c r="Q156" t="s">
        <v>38</v>
      </c>
      <c r="R156" t="s">
        <v>39</v>
      </c>
      <c r="S156" t="s">
        <v>40</v>
      </c>
      <c r="T156" t="s">
        <v>78</v>
      </c>
      <c r="U156">
        <v>34</v>
      </c>
      <c r="V156">
        <v>40</v>
      </c>
      <c r="W156">
        <v>77</v>
      </c>
      <c r="X156" s="2">
        <f>AVERAGE(Query1[[#This Row],[Assignment 1 Score]],Query1[[#This Row],[Assignment 2 Score]],Query1[[#This Row],[Midterm Exam Score]])</f>
        <v>50.333333333333336</v>
      </c>
      <c r="Y156" t="str" cm="1">
        <f t="array" ref="Y15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56" s="3">
        <f>Query1[[#This Row],[Final Score]]*5/100</f>
        <v>2.5166666666666671</v>
      </c>
      <c r="AA156" s="4">
        <v>0.87449999999999994</v>
      </c>
      <c r="AB156" s="4"/>
      <c r="AC156" s="5">
        <v>12565</v>
      </c>
      <c r="AD156" s="5">
        <v>1000</v>
      </c>
      <c r="AE156" s="5">
        <f>Query1[[#This Row],[Tuition Fee]]-Query1[[#This Row],[Scholarship Amount]]</f>
        <v>11565</v>
      </c>
      <c r="AF156" t="s">
        <v>31</v>
      </c>
    </row>
    <row r="157" spans="1:32" x14ac:dyDescent="0.35">
      <c r="A157" t="s">
        <v>412</v>
      </c>
      <c r="B157" t="s">
        <v>906</v>
      </c>
      <c r="C157" t="s">
        <v>1244</v>
      </c>
      <c r="D157" t="str">
        <f>LEFT(Query1[[#This Row],[First Name]],1) &amp; "." &amp; Query1[[#This Row],[Last Name]] &amp; "@university.edu"</f>
        <v>H.Rae@university.edu</v>
      </c>
      <c r="E157" t="s">
        <v>43</v>
      </c>
      <c r="F157" s="1">
        <v>37356</v>
      </c>
      <c r="G157" s="2">
        <f ca="1">DATEDIF(Query1[[#This Row],[Date of Birth]],TODAY(),"Y")</f>
        <v>23</v>
      </c>
      <c r="H157" t="s">
        <v>53</v>
      </c>
      <c r="I157">
        <v>2020</v>
      </c>
      <c r="J157" t="s">
        <v>34</v>
      </c>
      <c r="K157" t="s">
        <v>35</v>
      </c>
      <c r="N157" t="s">
        <v>413</v>
      </c>
      <c r="O157" t="s">
        <v>37</v>
      </c>
      <c r="P157">
        <v>3</v>
      </c>
      <c r="Q157" t="s">
        <v>49</v>
      </c>
      <c r="R157" t="s">
        <v>50</v>
      </c>
      <c r="S157" t="s">
        <v>29</v>
      </c>
      <c r="T157" t="s">
        <v>41</v>
      </c>
      <c r="U157">
        <v>56</v>
      </c>
      <c r="V157">
        <v>34</v>
      </c>
      <c r="W157">
        <v>91</v>
      </c>
      <c r="X157" s="2">
        <f>AVERAGE(Query1[[#This Row],[Assignment 1 Score]],Query1[[#This Row],[Assignment 2 Score]],Query1[[#This Row],[Midterm Exam Score]])</f>
        <v>60.333333333333336</v>
      </c>
      <c r="Y157" t="str" cm="1">
        <f t="array" ref="Y15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57" s="3">
        <f>Query1[[#This Row],[Final Score]]*5/100</f>
        <v>3.0166666666666671</v>
      </c>
      <c r="AA157" s="4">
        <v>0.91374999999999995</v>
      </c>
      <c r="AB157" s="4"/>
      <c r="AC157" s="5">
        <v>12088</v>
      </c>
      <c r="AD157" s="5">
        <v>0</v>
      </c>
      <c r="AE157" s="5">
        <f>Query1[[#This Row],[Tuition Fee]]-Query1[[#This Row],[Scholarship Amount]]</f>
        <v>12088</v>
      </c>
      <c r="AF157" t="s">
        <v>60</v>
      </c>
    </row>
    <row r="158" spans="1:32" x14ac:dyDescent="0.35">
      <c r="A158" t="s">
        <v>414</v>
      </c>
      <c r="B158" t="s">
        <v>907</v>
      </c>
      <c r="C158" t="s">
        <v>1245</v>
      </c>
      <c r="D158" t="str">
        <f>LEFT(Query1[[#This Row],[First Name]],1) &amp; "." &amp; Query1[[#This Row],[Last Name]] &amp; "@university.edu"</f>
        <v>C.Domesday@university.edu</v>
      </c>
      <c r="E158" t="s">
        <v>32</v>
      </c>
      <c r="F158" s="1">
        <v>37366</v>
      </c>
      <c r="G158" s="2">
        <f ca="1">DATEDIF(Query1[[#This Row],[Date of Birth]],TODAY(),"Y")</f>
        <v>23</v>
      </c>
      <c r="H158" t="s">
        <v>62</v>
      </c>
      <c r="I158">
        <v>2021</v>
      </c>
      <c r="J158" t="s">
        <v>45</v>
      </c>
      <c r="K158" t="s">
        <v>131</v>
      </c>
      <c r="N158" t="s">
        <v>415</v>
      </c>
      <c r="O158" t="s">
        <v>133</v>
      </c>
      <c r="P158">
        <v>3</v>
      </c>
      <c r="Q158" t="s">
        <v>58</v>
      </c>
      <c r="R158" t="s">
        <v>59</v>
      </c>
      <c r="S158" t="s">
        <v>40</v>
      </c>
      <c r="T158" t="s">
        <v>51</v>
      </c>
      <c r="U158">
        <v>32</v>
      </c>
      <c r="V158">
        <v>56</v>
      </c>
      <c r="W158">
        <v>70</v>
      </c>
      <c r="X158" s="2">
        <f>AVERAGE(Query1[[#This Row],[Assignment 1 Score]],Query1[[#This Row],[Assignment 2 Score]],Query1[[#This Row],[Midterm Exam Score]])</f>
        <v>52.666666666666664</v>
      </c>
      <c r="Y158" t="str" cm="1">
        <f t="array" ref="Y15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58" s="3">
        <f>Query1[[#This Row],[Final Score]]*5/100</f>
        <v>2.6333333333333333</v>
      </c>
      <c r="AA158" s="4">
        <v>0.86924999999999997</v>
      </c>
      <c r="AB158" s="4"/>
      <c r="AC158" s="5">
        <v>13111</v>
      </c>
      <c r="AD158" s="5">
        <v>1000</v>
      </c>
      <c r="AE158" s="5">
        <f>Query1[[#This Row],[Tuition Fee]]-Query1[[#This Row],[Scholarship Amount]]</f>
        <v>12111</v>
      </c>
      <c r="AF158" t="s">
        <v>31</v>
      </c>
    </row>
    <row r="159" spans="1:32" x14ac:dyDescent="0.35">
      <c r="A159" t="s">
        <v>416</v>
      </c>
      <c r="B159" t="s">
        <v>908</v>
      </c>
      <c r="C159" t="s">
        <v>1246</v>
      </c>
      <c r="D159" t="str">
        <f>LEFT(Query1[[#This Row],[First Name]],1) &amp; "." &amp; Query1[[#This Row],[Last Name]] &amp; "@university.edu"</f>
        <v>C.McLucas@university.edu</v>
      </c>
      <c r="E159" t="s">
        <v>43</v>
      </c>
      <c r="F159" s="1">
        <v>37376</v>
      </c>
      <c r="G159" s="2">
        <f ca="1">DATEDIF(Query1[[#This Row],[Date of Birth]],TODAY(),"Y")</f>
        <v>23</v>
      </c>
      <c r="H159" t="s">
        <v>71</v>
      </c>
      <c r="I159">
        <v>2022</v>
      </c>
      <c r="J159" t="s">
        <v>54</v>
      </c>
      <c r="K159" t="s">
        <v>135</v>
      </c>
      <c r="N159" t="s">
        <v>417</v>
      </c>
      <c r="O159" t="s">
        <v>137</v>
      </c>
      <c r="P159">
        <v>3</v>
      </c>
      <c r="Q159" t="s">
        <v>67</v>
      </c>
      <c r="R159" t="s">
        <v>68</v>
      </c>
      <c r="S159" t="s">
        <v>29</v>
      </c>
      <c r="T159" t="s">
        <v>30</v>
      </c>
      <c r="U159">
        <v>44</v>
      </c>
      <c r="V159">
        <v>32</v>
      </c>
      <c r="W159">
        <v>50</v>
      </c>
      <c r="X159" s="2">
        <f>AVERAGE(Query1[[#This Row],[Assignment 1 Score]],Query1[[#This Row],[Assignment 2 Score]],Query1[[#This Row],[Midterm Exam Score]])</f>
        <v>42</v>
      </c>
      <c r="Y159" t="str" cm="1">
        <f t="array" ref="Y15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E</v>
      </c>
      <c r="Z159" s="3">
        <f>Query1[[#This Row],[Final Score]]*5/100</f>
        <v>2.1</v>
      </c>
      <c r="AA159" s="4">
        <v>0.90549999999999997</v>
      </c>
      <c r="AB159" s="4"/>
      <c r="AC159" s="5">
        <v>11134</v>
      </c>
      <c r="AD159" s="5">
        <v>1000</v>
      </c>
      <c r="AE159" s="5">
        <f>Query1[[#This Row],[Tuition Fee]]-Query1[[#This Row],[Scholarship Amount]]</f>
        <v>10134</v>
      </c>
      <c r="AF159" t="s">
        <v>31</v>
      </c>
    </row>
    <row r="160" spans="1:32" x14ac:dyDescent="0.35">
      <c r="A160" t="s">
        <v>418</v>
      </c>
      <c r="B160" t="s">
        <v>909</v>
      </c>
      <c r="C160" t="s">
        <v>1247</v>
      </c>
      <c r="D160" t="str">
        <f>LEFT(Query1[[#This Row],[First Name]],1) &amp; "." &amp; Query1[[#This Row],[Last Name]] &amp; "@university.edu"</f>
        <v>A.Leahy@university.edu</v>
      </c>
      <c r="E160" t="s">
        <v>32</v>
      </c>
      <c r="F160" s="1">
        <v>37386</v>
      </c>
      <c r="G160" s="2">
        <f ca="1">DATEDIF(Query1[[#This Row],[Date of Birth]],TODAY(),"Y")</f>
        <v>23</v>
      </c>
      <c r="H160" t="s">
        <v>80</v>
      </c>
      <c r="I160">
        <v>2023</v>
      </c>
      <c r="J160" t="s">
        <v>63</v>
      </c>
      <c r="K160" t="s">
        <v>98</v>
      </c>
      <c r="N160" t="s">
        <v>419</v>
      </c>
      <c r="O160" t="s">
        <v>100</v>
      </c>
      <c r="P160">
        <v>5</v>
      </c>
      <c r="Q160" t="s">
        <v>76</v>
      </c>
      <c r="R160" t="s">
        <v>77</v>
      </c>
      <c r="S160" t="s">
        <v>40</v>
      </c>
      <c r="T160" t="s">
        <v>69</v>
      </c>
      <c r="U160">
        <v>70</v>
      </c>
      <c r="V160">
        <v>44</v>
      </c>
      <c r="W160">
        <v>60</v>
      </c>
      <c r="X160" s="2">
        <f>AVERAGE(Query1[[#This Row],[Assignment 1 Score]],Query1[[#This Row],[Assignment 2 Score]],Query1[[#This Row],[Midterm Exam Score]])</f>
        <v>58</v>
      </c>
      <c r="Y160" t="str" cm="1">
        <f t="array" ref="Y16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60" s="3">
        <f>Query1[[#This Row],[Final Score]]*5/100</f>
        <v>2.9</v>
      </c>
      <c r="AA160" s="4">
        <v>0.85724999999999996</v>
      </c>
      <c r="AB160" s="4"/>
      <c r="AC160" s="5">
        <v>15157</v>
      </c>
      <c r="AD160" s="5">
        <v>2000</v>
      </c>
      <c r="AE160" s="5">
        <f>Query1[[#This Row],[Tuition Fee]]-Query1[[#This Row],[Scholarship Amount]]</f>
        <v>13157</v>
      </c>
      <c r="AF160" t="s">
        <v>60</v>
      </c>
    </row>
    <row r="161" spans="1:32" x14ac:dyDescent="0.35">
      <c r="A161" t="s">
        <v>420</v>
      </c>
      <c r="B161" t="s">
        <v>910</v>
      </c>
      <c r="C161" t="s">
        <v>1248</v>
      </c>
      <c r="D161" t="str">
        <f>LEFT(Query1[[#This Row],[First Name]],1) &amp; "." &amp; Query1[[#This Row],[Last Name]] &amp; "@university.edu"</f>
        <v>D.Richfield@university.edu</v>
      </c>
      <c r="E161" t="s">
        <v>43</v>
      </c>
      <c r="F161" s="1">
        <v>37396</v>
      </c>
      <c r="G161" s="2">
        <f ca="1">DATEDIF(Query1[[#This Row],[Date of Birth]],TODAY(),"Y")</f>
        <v>23</v>
      </c>
      <c r="H161" t="s">
        <v>85</v>
      </c>
      <c r="I161">
        <v>2019</v>
      </c>
      <c r="J161" t="s">
        <v>72</v>
      </c>
      <c r="K161" t="s">
        <v>73</v>
      </c>
      <c r="N161" t="s">
        <v>421</v>
      </c>
      <c r="O161" t="s">
        <v>75</v>
      </c>
      <c r="P161">
        <v>4</v>
      </c>
      <c r="Q161" t="s">
        <v>82</v>
      </c>
      <c r="R161" t="s">
        <v>83</v>
      </c>
      <c r="S161" t="s">
        <v>29</v>
      </c>
      <c r="T161" t="s">
        <v>78</v>
      </c>
      <c r="U161">
        <v>80</v>
      </c>
      <c r="V161">
        <v>70</v>
      </c>
      <c r="W161">
        <v>41</v>
      </c>
      <c r="X161" s="2">
        <f>AVERAGE(Query1[[#This Row],[Assignment 1 Score]],Query1[[#This Row],[Assignment 2 Score]],Query1[[#This Row],[Midterm Exam Score]])</f>
        <v>63.666666666666664</v>
      </c>
      <c r="Y161" t="str" cm="1">
        <f t="array" ref="Y16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161" s="3">
        <f>Query1[[#This Row],[Final Score]]*5/100</f>
        <v>3.1833333333333331</v>
      </c>
      <c r="AA161" s="4">
        <v>0.89349999999999996</v>
      </c>
      <c r="AB161" s="4"/>
      <c r="AC161" s="5">
        <v>12680</v>
      </c>
      <c r="AD161" s="5">
        <v>0</v>
      </c>
      <c r="AE161" s="5">
        <f>Query1[[#This Row],[Tuition Fee]]-Query1[[#This Row],[Scholarship Amount]]</f>
        <v>12680</v>
      </c>
      <c r="AF161" t="s">
        <v>31</v>
      </c>
    </row>
    <row r="162" spans="1:32" x14ac:dyDescent="0.35">
      <c r="A162" t="s">
        <v>422</v>
      </c>
      <c r="B162" t="s">
        <v>911</v>
      </c>
      <c r="C162" t="s">
        <v>1249</v>
      </c>
      <c r="D162" t="str">
        <f>LEFT(Query1[[#This Row],[First Name]],1) &amp; "." &amp; Query1[[#This Row],[Last Name]] &amp; "@university.edu"</f>
        <v>F.Janson@university.edu</v>
      </c>
      <c r="E162" t="s">
        <v>32</v>
      </c>
      <c r="F162" s="1">
        <v>37406</v>
      </c>
      <c r="G162" s="2">
        <f ca="1">DATEDIF(Query1[[#This Row],[Date of Birth]],TODAY(),"Y")</f>
        <v>23</v>
      </c>
      <c r="H162" t="s">
        <v>92</v>
      </c>
      <c r="I162">
        <v>2020</v>
      </c>
      <c r="J162" t="s">
        <v>34</v>
      </c>
      <c r="K162" t="s">
        <v>35</v>
      </c>
      <c r="N162" t="s">
        <v>423</v>
      </c>
      <c r="O162" t="s">
        <v>37</v>
      </c>
      <c r="P162">
        <v>3</v>
      </c>
      <c r="Q162" t="s">
        <v>89</v>
      </c>
      <c r="R162" t="s">
        <v>90</v>
      </c>
      <c r="S162" t="s">
        <v>40</v>
      </c>
      <c r="T162" t="s">
        <v>41</v>
      </c>
      <c r="U162">
        <v>69</v>
      </c>
      <c r="V162">
        <v>67</v>
      </c>
      <c r="W162">
        <v>38</v>
      </c>
      <c r="X162" s="2">
        <f>AVERAGE(Query1[[#This Row],[Assignment 1 Score]],Query1[[#This Row],[Assignment 2 Score]],Query1[[#This Row],[Midterm Exam Score]])</f>
        <v>58</v>
      </c>
      <c r="Y162" t="str" cm="1">
        <f t="array" ref="Y16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62" s="3">
        <f>Query1[[#This Row],[Final Score]]*5/100</f>
        <v>2.9</v>
      </c>
      <c r="AA162" s="4">
        <v>0.88100000000000001</v>
      </c>
      <c r="AB162" s="4"/>
      <c r="AC162" s="5">
        <v>12203</v>
      </c>
      <c r="AD162" s="5">
        <v>5000</v>
      </c>
      <c r="AE162" s="5">
        <f>Query1[[#This Row],[Tuition Fee]]-Query1[[#This Row],[Scholarship Amount]]</f>
        <v>7203</v>
      </c>
      <c r="AF162" t="s">
        <v>31</v>
      </c>
    </row>
    <row r="163" spans="1:32" x14ac:dyDescent="0.35">
      <c r="A163" t="s">
        <v>424</v>
      </c>
      <c r="B163" t="s">
        <v>912</v>
      </c>
      <c r="C163" t="s">
        <v>1250</v>
      </c>
      <c r="D163" t="str">
        <f>LEFT(Query1[[#This Row],[First Name]],1) &amp; "." &amp; Query1[[#This Row],[Last Name]] &amp; "@university.edu"</f>
        <v>B.Skones@university.edu</v>
      </c>
      <c r="E163" t="s">
        <v>43</v>
      </c>
      <c r="F163" s="1">
        <v>37416</v>
      </c>
      <c r="G163" s="2">
        <f ca="1">DATEDIF(Query1[[#This Row],[Date of Birth]],TODAY(),"Y")</f>
        <v>23</v>
      </c>
      <c r="H163" t="s">
        <v>97</v>
      </c>
      <c r="I163">
        <v>2021</v>
      </c>
      <c r="J163" t="s">
        <v>45</v>
      </c>
      <c r="K163" t="s">
        <v>46</v>
      </c>
      <c r="N163" t="s">
        <v>425</v>
      </c>
      <c r="O163" t="s">
        <v>48</v>
      </c>
      <c r="P163">
        <v>3</v>
      </c>
      <c r="Q163" t="s">
        <v>38</v>
      </c>
      <c r="R163" t="s">
        <v>39</v>
      </c>
      <c r="S163" t="s">
        <v>29</v>
      </c>
      <c r="T163" t="s">
        <v>51</v>
      </c>
      <c r="U163">
        <v>83</v>
      </c>
      <c r="V163">
        <v>87</v>
      </c>
      <c r="W163">
        <v>59</v>
      </c>
      <c r="X163" s="2">
        <f>AVERAGE(Query1[[#This Row],[Assignment 1 Score]],Query1[[#This Row],[Assignment 2 Score]],Query1[[#This Row],[Midterm Exam Score]])</f>
        <v>76.333333333333329</v>
      </c>
      <c r="Y163" t="str" cm="1">
        <f t="array" ref="Y16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163" s="3">
        <f>Query1[[#This Row],[Final Score]]*5/100</f>
        <v>3.8166666666666664</v>
      </c>
      <c r="AA163" s="4">
        <v>0.9202499999999999</v>
      </c>
      <c r="AB163" s="4"/>
      <c r="AC163" s="5">
        <v>13226</v>
      </c>
      <c r="AD163" s="5">
        <v>2000</v>
      </c>
      <c r="AE163" s="5">
        <f>Query1[[#This Row],[Tuition Fee]]-Query1[[#This Row],[Scholarship Amount]]</f>
        <v>11226</v>
      </c>
      <c r="AF163" t="s">
        <v>60</v>
      </c>
    </row>
    <row r="164" spans="1:32" x14ac:dyDescent="0.35">
      <c r="A164" t="s">
        <v>426</v>
      </c>
      <c r="B164" t="s">
        <v>913</v>
      </c>
      <c r="C164" t="s">
        <v>1251</v>
      </c>
      <c r="D164" t="str">
        <f>LEFT(Query1[[#This Row],[First Name]],1) &amp; "." &amp; Query1[[#This Row],[Last Name]] &amp; "@university.edu"</f>
        <v>V.Wherton@university.edu</v>
      </c>
      <c r="E164" t="s">
        <v>32</v>
      </c>
      <c r="F164" s="1">
        <v>37426</v>
      </c>
      <c r="G164" s="2">
        <f ca="1">DATEDIF(Query1[[#This Row],[Date of Birth]],TODAY(),"Y")</f>
        <v>23</v>
      </c>
      <c r="H164" t="s">
        <v>102</v>
      </c>
      <c r="I164">
        <v>2022</v>
      </c>
      <c r="J164" t="s">
        <v>54</v>
      </c>
      <c r="K164" t="s">
        <v>55</v>
      </c>
      <c r="N164" t="s">
        <v>427</v>
      </c>
      <c r="O164" t="s">
        <v>57</v>
      </c>
      <c r="P164">
        <v>3</v>
      </c>
      <c r="Q164" t="s">
        <v>49</v>
      </c>
      <c r="R164" t="s">
        <v>50</v>
      </c>
      <c r="S164" t="s">
        <v>40</v>
      </c>
      <c r="T164" t="s">
        <v>30</v>
      </c>
      <c r="U164">
        <v>62</v>
      </c>
      <c r="V164">
        <v>64</v>
      </c>
      <c r="W164">
        <v>40</v>
      </c>
      <c r="X164" s="2">
        <f>AVERAGE(Query1[[#This Row],[Assignment 1 Score]],Query1[[#This Row],[Assignment 2 Score]],Query1[[#This Row],[Midterm Exam Score]])</f>
        <v>55.333333333333336</v>
      </c>
      <c r="Y164" t="str" cm="1">
        <f t="array" ref="Y16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64" s="3">
        <f>Query1[[#This Row],[Final Score]]*5/100</f>
        <v>2.7666666666666671</v>
      </c>
      <c r="AA164" s="4">
        <v>0.86899999999999999</v>
      </c>
      <c r="AB164" s="4"/>
      <c r="AC164" s="5">
        <v>11249</v>
      </c>
      <c r="AD164" s="5">
        <v>1000</v>
      </c>
      <c r="AE164" s="5">
        <f>Query1[[#This Row],[Tuition Fee]]-Query1[[#This Row],[Scholarship Amount]]</f>
        <v>10249</v>
      </c>
      <c r="AF164" t="s">
        <v>31</v>
      </c>
    </row>
    <row r="165" spans="1:32" x14ac:dyDescent="0.35">
      <c r="A165" t="s">
        <v>428</v>
      </c>
      <c r="B165" t="s">
        <v>914</v>
      </c>
      <c r="C165" t="s">
        <v>1252</v>
      </c>
      <c r="D165" t="str">
        <f>LEFT(Query1[[#This Row],[First Name]],1) &amp; "." &amp; Query1[[#This Row],[Last Name]] &amp; "@university.edu"</f>
        <v>S.O'Hallagan@university.edu</v>
      </c>
      <c r="E165" t="s">
        <v>43</v>
      </c>
      <c r="F165" s="1">
        <v>37436</v>
      </c>
      <c r="G165" s="2">
        <f ca="1">DATEDIF(Query1[[#This Row],[Date of Birth]],TODAY(),"Y")</f>
        <v>23</v>
      </c>
      <c r="H165" t="s">
        <v>105</v>
      </c>
      <c r="I165">
        <v>2023</v>
      </c>
      <c r="J165" t="s">
        <v>63</v>
      </c>
      <c r="K165" t="s">
        <v>120</v>
      </c>
      <c r="N165" t="s">
        <v>429</v>
      </c>
      <c r="O165" t="s">
        <v>122</v>
      </c>
      <c r="P165">
        <v>5</v>
      </c>
      <c r="Q165" t="s">
        <v>58</v>
      </c>
      <c r="R165" t="s">
        <v>59</v>
      </c>
      <c r="S165" t="s">
        <v>29</v>
      </c>
      <c r="T165" t="s">
        <v>69</v>
      </c>
      <c r="U165">
        <v>86</v>
      </c>
      <c r="V165">
        <v>84</v>
      </c>
      <c r="W165">
        <v>34</v>
      </c>
      <c r="X165" s="2">
        <f>AVERAGE(Query1[[#This Row],[Assignment 1 Score]],Query1[[#This Row],[Assignment 2 Score]],Query1[[#This Row],[Midterm Exam Score]])</f>
        <v>68</v>
      </c>
      <c r="Y165" t="str" cm="1">
        <f t="array" ref="Y16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65" s="3">
        <f>Query1[[#This Row],[Final Score]]*5/100</f>
        <v>3.4</v>
      </c>
      <c r="AA165" s="4">
        <v>0.91199999999999992</v>
      </c>
      <c r="AB165" s="4"/>
      <c r="AC165" s="5">
        <v>15272</v>
      </c>
      <c r="AD165" s="5">
        <v>0</v>
      </c>
      <c r="AE165" s="5">
        <f>Query1[[#This Row],[Tuition Fee]]-Query1[[#This Row],[Scholarship Amount]]</f>
        <v>15272</v>
      </c>
      <c r="AF165" t="s">
        <v>31</v>
      </c>
    </row>
    <row r="166" spans="1:32" x14ac:dyDescent="0.35">
      <c r="A166" t="s">
        <v>430</v>
      </c>
      <c r="B166" t="s">
        <v>915</v>
      </c>
      <c r="C166" t="s">
        <v>1253</v>
      </c>
      <c r="D166" t="str">
        <f>LEFT(Query1[[#This Row],[First Name]],1) &amp; "." &amp; Query1[[#This Row],[Last Name]] &amp; "@university.edu"</f>
        <v>M.Seymark@university.edu</v>
      </c>
      <c r="E166" t="s">
        <v>32</v>
      </c>
      <c r="F166" s="1">
        <v>37446</v>
      </c>
      <c r="G166" s="2">
        <f ca="1">DATEDIF(Query1[[#This Row],[Date of Birth]],TODAY(),"Y")</f>
        <v>23</v>
      </c>
      <c r="H166" t="s">
        <v>108</v>
      </c>
      <c r="I166">
        <v>2019</v>
      </c>
      <c r="J166" t="s">
        <v>72</v>
      </c>
      <c r="K166" t="s">
        <v>73</v>
      </c>
      <c r="N166" t="s">
        <v>431</v>
      </c>
      <c r="O166" t="s">
        <v>75</v>
      </c>
      <c r="P166">
        <v>4</v>
      </c>
      <c r="Q166" t="s">
        <v>67</v>
      </c>
      <c r="R166" t="s">
        <v>68</v>
      </c>
      <c r="S166" t="s">
        <v>40</v>
      </c>
      <c r="T166" t="s">
        <v>78</v>
      </c>
      <c r="U166">
        <v>65</v>
      </c>
      <c r="V166">
        <v>69</v>
      </c>
      <c r="W166">
        <v>56</v>
      </c>
      <c r="X166" s="2">
        <f>AVERAGE(Query1[[#This Row],[Assignment 1 Score]],Query1[[#This Row],[Assignment 2 Score]],Query1[[#This Row],[Midterm Exam Score]])</f>
        <v>63.333333333333336</v>
      </c>
      <c r="Y166" t="str" cm="1">
        <f t="array" ref="Y16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166" s="3">
        <f>Query1[[#This Row],[Final Score]]*5/100</f>
        <v>3.166666666666667</v>
      </c>
      <c r="AA166" s="4">
        <v>0.86375000000000002</v>
      </c>
      <c r="AB166" s="4"/>
      <c r="AC166" s="5">
        <v>12795</v>
      </c>
      <c r="AD166" s="5">
        <v>2000</v>
      </c>
      <c r="AE166" s="5">
        <f>Query1[[#This Row],[Tuition Fee]]-Query1[[#This Row],[Scholarship Amount]]</f>
        <v>10795</v>
      </c>
      <c r="AF166" t="s">
        <v>60</v>
      </c>
    </row>
    <row r="167" spans="1:32" x14ac:dyDescent="0.35">
      <c r="A167" t="s">
        <v>432</v>
      </c>
      <c r="B167" t="s">
        <v>916</v>
      </c>
      <c r="C167" t="s">
        <v>1254</v>
      </c>
      <c r="D167" t="str">
        <f>LEFT(Query1[[#This Row],[First Name]],1) &amp; "." &amp; Query1[[#This Row],[Last Name]] &amp; "@university.edu"</f>
        <v>V.Damant@university.edu</v>
      </c>
      <c r="E167" t="s">
        <v>43</v>
      </c>
      <c r="F167" s="1">
        <v>37456</v>
      </c>
      <c r="G167" s="2">
        <f ca="1">DATEDIF(Query1[[#This Row],[Date of Birth]],TODAY(),"Y")</f>
        <v>23</v>
      </c>
      <c r="H167" t="s">
        <v>113</v>
      </c>
      <c r="I167">
        <v>2020</v>
      </c>
      <c r="J167" t="s">
        <v>34</v>
      </c>
      <c r="K167" t="s">
        <v>35</v>
      </c>
      <c r="N167" t="s">
        <v>433</v>
      </c>
      <c r="O167" t="s">
        <v>37</v>
      </c>
      <c r="P167">
        <v>3</v>
      </c>
      <c r="Q167" t="s">
        <v>76</v>
      </c>
      <c r="R167" t="s">
        <v>77</v>
      </c>
      <c r="S167" t="s">
        <v>29</v>
      </c>
      <c r="T167" t="s">
        <v>41</v>
      </c>
      <c r="U167">
        <v>79</v>
      </c>
      <c r="V167">
        <v>81</v>
      </c>
      <c r="W167">
        <v>32</v>
      </c>
      <c r="X167" s="2">
        <f>AVERAGE(Query1[[#This Row],[Assignment 1 Score]],Query1[[#This Row],[Assignment 2 Score]],Query1[[#This Row],[Midterm Exam Score]])</f>
        <v>64</v>
      </c>
      <c r="Y167" t="str" cm="1">
        <f t="array" ref="Y16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167" s="3">
        <f>Query1[[#This Row],[Final Score]]*5/100</f>
        <v>3.2</v>
      </c>
      <c r="AA167" s="4">
        <v>0.91199999999999992</v>
      </c>
      <c r="AB167" s="4"/>
      <c r="AC167" s="5">
        <v>12318</v>
      </c>
      <c r="AD167" s="5">
        <v>1000</v>
      </c>
      <c r="AE167" s="5">
        <f>Query1[[#This Row],[Tuition Fee]]-Query1[[#This Row],[Scholarship Amount]]</f>
        <v>11318</v>
      </c>
      <c r="AF167" t="s">
        <v>31</v>
      </c>
    </row>
    <row r="168" spans="1:32" x14ac:dyDescent="0.35">
      <c r="A168" t="s">
        <v>434</v>
      </c>
      <c r="B168" t="s">
        <v>917</v>
      </c>
      <c r="C168" t="s">
        <v>1255</v>
      </c>
      <c r="D168" t="str">
        <f>LEFT(Query1[[#This Row],[First Name]],1) &amp; "." &amp; Query1[[#This Row],[Last Name]] &amp; "@university.edu"</f>
        <v>F.Dodds@university.edu</v>
      </c>
      <c r="E168" t="s">
        <v>32</v>
      </c>
      <c r="F168" s="1">
        <v>37466</v>
      </c>
      <c r="G168" s="2">
        <f ca="1">DATEDIF(Query1[[#This Row],[Date of Birth]],TODAY(),"Y")</f>
        <v>23</v>
      </c>
      <c r="H168" t="s">
        <v>119</v>
      </c>
      <c r="I168">
        <v>2021</v>
      </c>
      <c r="J168" t="s">
        <v>45</v>
      </c>
      <c r="K168" t="s">
        <v>86</v>
      </c>
      <c r="N168" t="s">
        <v>435</v>
      </c>
      <c r="O168" t="s">
        <v>88</v>
      </c>
      <c r="P168">
        <v>3</v>
      </c>
      <c r="Q168" t="s">
        <v>82</v>
      </c>
      <c r="R168" t="s">
        <v>83</v>
      </c>
      <c r="S168" t="s">
        <v>40</v>
      </c>
      <c r="T168" t="s">
        <v>51</v>
      </c>
      <c r="U168">
        <v>68</v>
      </c>
      <c r="V168">
        <v>66</v>
      </c>
      <c r="W168">
        <v>44</v>
      </c>
      <c r="X168" s="2">
        <f>AVERAGE(Query1[[#This Row],[Assignment 1 Score]],Query1[[#This Row],[Assignment 2 Score]],Query1[[#This Row],[Midterm Exam Score]])</f>
        <v>59.333333333333336</v>
      </c>
      <c r="Y168" t="str" cm="1">
        <f t="array" ref="Y16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68" s="3">
        <f>Query1[[#This Row],[Final Score]]*5/100</f>
        <v>2.9666666666666668</v>
      </c>
      <c r="AA168" s="4">
        <v>0.86749999999999994</v>
      </c>
      <c r="AB168" s="4"/>
      <c r="AC168" s="5">
        <v>13341</v>
      </c>
      <c r="AD168" s="5">
        <v>1000</v>
      </c>
      <c r="AE168" s="5">
        <f>Query1[[#This Row],[Tuition Fee]]-Query1[[#This Row],[Scholarship Amount]]</f>
        <v>12341</v>
      </c>
      <c r="AF168" t="s">
        <v>31</v>
      </c>
    </row>
    <row r="169" spans="1:32" x14ac:dyDescent="0.35">
      <c r="A169" t="s">
        <v>436</v>
      </c>
      <c r="B169" t="s">
        <v>918</v>
      </c>
      <c r="C169" t="s">
        <v>1256</v>
      </c>
      <c r="D169" t="str">
        <f>LEFT(Query1[[#This Row],[First Name]],1) &amp; "." &amp; Query1[[#This Row],[Last Name]] &amp; "@university.edu"</f>
        <v>S.Franceschielli@university.edu</v>
      </c>
      <c r="E169" t="s">
        <v>43</v>
      </c>
      <c r="F169" s="1">
        <v>37476</v>
      </c>
      <c r="G169" s="2">
        <f ca="1">DATEDIF(Query1[[#This Row],[Date of Birth]],TODAY(),"Y")</f>
        <v>23</v>
      </c>
      <c r="H169" t="s">
        <v>124</v>
      </c>
      <c r="I169">
        <v>2022</v>
      </c>
      <c r="J169" t="s">
        <v>54</v>
      </c>
      <c r="K169" t="s">
        <v>93</v>
      </c>
      <c r="N169" t="s">
        <v>437</v>
      </c>
      <c r="O169" t="s">
        <v>95</v>
      </c>
      <c r="P169">
        <v>3</v>
      </c>
      <c r="Q169" t="s">
        <v>89</v>
      </c>
      <c r="R169" t="s">
        <v>90</v>
      </c>
      <c r="S169" t="s">
        <v>29</v>
      </c>
      <c r="T169" t="s">
        <v>30</v>
      </c>
      <c r="U169">
        <v>82</v>
      </c>
      <c r="V169">
        <v>78</v>
      </c>
      <c r="W169">
        <v>70</v>
      </c>
      <c r="X169" s="2">
        <f>AVERAGE(Query1[[#This Row],[Assignment 1 Score]],Query1[[#This Row],[Assignment 2 Score]],Query1[[#This Row],[Midterm Exam Score]])</f>
        <v>76.666666666666671</v>
      </c>
      <c r="Y169" t="str" cm="1">
        <f t="array" ref="Y16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169" s="3">
        <f>Query1[[#This Row],[Final Score]]*5/100</f>
        <v>3.8333333333333339</v>
      </c>
      <c r="AA169" s="4">
        <v>0.90374999999999994</v>
      </c>
      <c r="AB169" s="4"/>
      <c r="AC169" s="5">
        <v>11364</v>
      </c>
      <c r="AD169" s="5">
        <v>0</v>
      </c>
      <c r="AE169" s="5">
        <f>Query1[[#This Row],[Tuition Fee]]-Query1[[#This Row],[Scholarship Amount]]</f>
        <v>11364</v>
      </c>
      <c r="AF169" t="s">
        <v>60</v>
      </c>
    </row>
    <row r="170" spans="1:32" x14ac:dyDescent="0.35">
      <c r="A170" t="s">
        <v>438</v>
      </c>
      <c r="B170" t="s">
        <v>919</v>
      </c>
      <c r="C170" t="s">
        <v>1257</v>
      </c>
      <c r="D170" t="str">
        <f>LEFT(Query1[[#This Row],[First Name]],1) &amp; "." &amp; Query1[[#This Row],[Last Name]] &amp; "@university.edu"</f>
        <v>J.Fellgatt@university.edu</v>
      </c>
      <c r="E170" t="s">
        <v>32</v>
      </c>
      <c r="F170" s="1">
        <v>37486</v>
      </c>
      <c r="G170" s="2">
        <f ca="1">DATEDIF(Query1[[#This Row],[Date of Birth]],TODAY(),"Y")</f>
        <v>23</v>
      </c>
      <c r="H170" t="s">
        <v>127</v>
      </c>
      <c r="I170">
        <v>2023</v>
      </c>
      <c r="J170" t="s">
        <v>63</v>
      </c>
      <c r="K170" t="s">
        <v>64</v>
      </c>
      <c r="N170" t="s">
        <v>439</v>
      </c>
      <c r="O170" t="s">
        <v>66</v>
      </c>
      <c r="P170">
        <v>5</v>
      </c>
      <c r="Q170" t="s">
        <v>38</v>
      </c>
      <c r="R170" t="s">
        <v>39</v>
      </c>
      <c r="S170" t="s">
        <v>40</v>
      </c>
      <c r="T170" t="s">
        <v>69</v>
      </c>
      <c r="U170">
        <v>61</v>
      </c>
      <c r="V170">
        <v>63</v>
      </c>
      <c r="W170">
        <v>60</v>
      </c>
      <c r="X170" s="2">
        <f>AVERAGE(Query1[[#This Row],[Assignment 1 Score]],Query1[[#This Row],[Assignment 2 Score]],Query1[[#This Row],[Midterm Exam Score]])</f>
        <v>61.333333333333336</v>
      </c>
      <c r="Y170" t="str" cm="1">
        <f t="array" ref="Y17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170" s="3">
        <f>Query1[[#This Row],[Final Score]]*5/100</f>
        <v>3.0666666666666669</v>
      </c>
      <c r="AA170" s="4">
        <v>0.85549999999999993</v>
      </c>
      <c r="AB170" s="4"/>
      <c r="AC170" s="5">
        <v>15387</v>
      </c>
      <c r="AD170" s="5">
        <v>1000</v>
      </c>
      <c r="AE170" s="5">
        <f>Query1[[#This Row],[Tuition Fee]]-Query1[[#This Row],[Scholarship Amount]]</f>
        <v>14387</v>
      </c>
      <c r="AF170" t="s">
        <v>31</v>
      </c>
    </row>
    <row r="171" spans="1:32" x14ac:dyDescent="0.35">
      <c r="A171" t="s">
        <v>440</v>
      </c>
      <c r="B171" t="s">
        <v>920</v>
      </c>
      <c r="C171" t="s">
        <v>1258</v>
      </c>
      <c r="D171" t="str">
        <f>LEFT(Query1[[#This Row],[First Name]],1) &amp; "." &amp; Query1[[#This Row],[Last Name]] &amp; "@university.edu"</f>
        <v>L.Rowly@university.edu</v>
      </c>
      <c r="E171" t="s">
        <v>43</v>
      </c>
      <c r="F171" s="1">
        <v>37496</v>
      </c>
      <c r="G171" s="2">
        <f ca="1">DATEDIF(Query1[[#This Row],[Date of Birth]],TODAY(),"Y")</f>
        <v>23</v>
      </c>
      <c r="H171" t="s">
        <v>130</v>
      </c>
      <c r="I171">
        <v>2019</v>
      </c>
      <c r="J171" t="s">
        <v>72</v>
      </c>
      <c r="K171" t="s">
        <v>73</v>
      </c>
      <c r="N171" t="s">
        <v>441</v>
      </c>
      <c r="O171" t="s">
        <v>75</v>
      </c>
      <c r="P171">
        <v>4</v>
      </c>
      <c r="Q171" t="s">
        <v>49</v>
      </c>
      <c r="R171" t="s">
        <v>50</v>
      </c>
      <c r="S171" t="s">
        <v>29</v>
      </c>
      <c r="T171" t="s">
        <v>78</v>
      </c>
      <c r="U171">
        <v>75</v>
      </c>
      <c r="V171">
        <v>83</v>
      </c>
      <c r="W171">
        <v>74</v>
      </c>
      <c r="X171" s="2">
        <f>AVERAGE(Query1[[#This Row],[Assignment 1 Score]],Query1[[#This Row],[Assignment 2 Score]],Query1[[#This Row],[Midterm Exam Score]])</f>
        <v>77.333333333333329</v>
      </c>
      <c r="Y171" t="str" cm="1">
        <f t="array" ref="Y17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171" s="3">
        <f>Query1[[#This Row],[Final Score]]*5/100</f>
        <v>3.8666666666666663</v>
      </c>
      <c r="AA171" s="4">
        <v>0.89474999999999993</v>
      </c>
      <c r="AB171" s="4"/>
      <c r="AC171" s="5">
        <v>12910</v>
      </c>
      <c r="AD171" s="5">
        <v>1000</v>
      </c>
      <c r="AE171" s="5">
        <f>Query1[[#This Row],[Tuition Fee]]-Query1[[#This Row],[Scholarship Amount]]</f>
        <v>11910</v>
      </c>
      <c r="AF171" t="s">
        <v>31</v>
      </c>
    </row>
    <row r="172" spans="1:32" x14ac:dyDescent="0.35">
      <c r="A172" t="s">
        <v>442</v>
      </c>
      <c r="B172" t="s">
        <v>921</v>
      </c>
      <c r="C172" t="s">
        <v>1259</v>
      </c>
      <c r="D172" t="str">
        <f>LEFT(Query1[[#This Row],[First Name]],1) &amp; "." &amp; Query1[[#This Row],[Last Name]] &amp; "@university.edu"</f>
        <v>Z.Aldous@university.edu</v>
      </c>
      <c r="E172" t="s">
        <v>32</v>
      </c>
      <c r="F172" s="1">
        <v>37506</v>
      </c>
      <c r="G172" s="2">
        <f ca="1">DATEDIF(Query1[[#This Row],[Date of Birth]],TODAY(),"Y")</f>
        <v>23</v>
      </c>
      <c r="H172" t="s">
        <v>33</v>
      </c>
      <c r="I172">
        <v>2020</v>
      </c>
      <c r="J172" t="s">
        <v>34</v>
      </c>
      <c r="K172" t="s">
        <v>35</v>
      </c>
      <c r="N172" t="s">
        <v>443</v>
      </c>
      <c r="O172" t="s">
        <v>37</v>
      </c>
      <c r="P172">
        <v>3</v>
      </c>
      <c r="Q172" t="s">
        <v>58</v>
      </c>
      <c r="R172" t="s">
        <v>59</v>
      </c>
      <c r="S172" t="s">
        <v>40</v>
      </c>
      <c r="T172" t="s">
        <v>41</v>
      </c>
      <c r="U172">
        <v>64</v>
      </c>
      <c r="V172">
        <v>60</v>
      </c>
      <c r="W172">
        <v>69</v>
      </c>
      <c r="X172" s="2">
        <f>AVERAGE(Query1[[#This Row],[Assignment 1 Score]],Query1[[#This Row],[Assignment 2 Score]],Query1[[#This Row],[Midterm Exam Score]])</f>
        <v>64.333333333333329</v>
      </c>
      <c r="Y172" t="str" cm="1">
        <f t="array" ref="Y17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172" s="3">
        <f>Query1[[#This Row],[Final Score]]*5/100</f>
        <v>3.2166666666666663</v>
      </c>
      <c r="AA172" s="4">
        <v>0.85924999999999996</v>
      </c>
      <c r="AB172" s="4"/>
      <c r="AC172" s="5">
        <v>12433</v>
      </c>
      <c r="AD172" s="5">
        <v>2000</v>
      </c>
      <c r="AE172" s="5">
        <f>Query1[[#This Row],[Tuition Fee]]-Query1[[#This Row],[Scholarship Amount]]</f>
        <v>10433</v>
      </c>
      <c r="AF172" t="s">
        <v>60</v>
      </c>
    </row>
    <row r="173" spans="1:32" x14ac:dyDescent="0.35">
      <c r="A173" t="s">
        <v>444</v>
      </c>
      <c r="B173" t="s">
        <v>922</v>
      </c>
      <c r="C173" t="s">
        <v>1260</v>
      </c>
      <c r="D173" t="str">
        <f>LEFT(Query1[[#This Row],[First Name]],1) &amp; "." &amp; Query1[[#This Row],[Last Name]] &amp; "@university.edu"</f>
        <v>E.Glendza@university.edu</v>
      </c>
      <c r="E173" t="s">
        <v>43</v>
      </c>
      <c r="F173" s="1">
        <v>37516</v>
      </c>
      <c r="G173" s="2">
        <f ca="1">DATEDIF(Query1[[#This Row],[Date of Birth]],TODAY(),"Y")</f>
        <v>23</v>
      </c>
      <c r="H173" t="s">
        <v>44</v>
      </c>
      <c r="I173">
        <v>2021</v>
      </c>
      <c r="J173" t="s">
        <v>45</v>
      </c>
      <c r="K173" t="s">
        <v>109</v>
      </c>
      <c r="N173" t="s">
        <v>445</v>
      </c>
      <c r="O173" t="s">
        <v>111</v>
      </c>
      <c r="P173">
        <v>3</v>
      </c>
      <c r="Q173" t="s">
        <v>67</v>
      </c>
      <c r="R173" t="s">
        <v>68</v>
      </c>
      <c r="S173" t="s">
        <v>29</v>
      </c>
      <c r="T173" t="s">
        <v>51</v>
      </c>
      <c r="U173">
        <v>78</v>
      </c>
      <c r="V173">
        <v>80</v>
      </c>
      <c r="W173">
        <v>83</v>
      </c>
      <c r="X173" s="2">
        <f>AVERAGE(Query1[[#This Row],[Assignment 1 Score]],Query1[[#This Row],[Assignment 2 Score]],Query1[[#This Row],[Midterm Exam Score]])</f>
        <v>80.333333333333329</v>
      </c>
      <c r="Y173" t="str" cm="1">
        <f t="array" ref="Y17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173" s="3">
        <f>Query1[[#This Row],[Final Score]]*5/100</f>
        <v>4.0166666666666666</v>
      </c>
      <c r="AA173" s="4">
        <v>0.89849999999999997</v>
      </c>
      <c r="AB173" s="4"/>
      <c r="AC173" s="5">
        <v>13456</v>
      </c>
      <c r="AD173" s="5">
        <v>0</v>
      </c>
      <c r="AE173" s="5">
        <f>Query1[[#This Row],[Tuition Fee]]-Query1[[#This Row],[Scholarship Amount]]</f>
        <v>13456</v>
      </c>
      <c r="AF173" t="s">
        <v>31</v>
      </c>
    </row>
    <row r="174" spans="1:32" x14ac:dyDescent="0.35">
      <c r="A174" t="s">
        <v>446</v>
      </c>
      <c r="B174" t="s">
        <v>923</v>
      </c>
      <c r="C174" t="s">
        <v>1261</v>
      </c>
      <c r="D174" t="str">
        <f>LEFT(Query1[[#This Row],[First Name]],1) &amp; "." &amp; Query1[[#This Row],[Last Name]] &amp; "@university.edu"</f>
        <v>R.Domm@university.edu</v>
      </c>
      <c r="E174" t="s">
        <v>32</v>
      </c>
      <c r="F174" s="1">
        <v>37526</v>
      </c>
      <c r="G174" s="2">
        <f ca="1">DATEDIF(Query1[[#This Row],[Date of Birth]],TODAY(),"Y")</f>
        <v>23</v>
      </c>
      <c r="H174" t="s">
        <v>53</v>
      </c>
      <c r="I174">
        <v>2022</v>
      </c>
      <c r="J174" t="s">
        <v>54</v>
      </c>
      <c r="K174" t="s">
        <v>114</v>
      </c>
      <c r="N174" t="s">
        <v>447</v>
      </c>
      <c r="O174" t="s">
        <v>116</v>
      </c>
      <c r="P174">
        <v>3</v>
      </c>
      <c r="Q174" t="s">
        <v>76</v>
      </c>
      <c r="R174" t="s">
        <v>77</v>
      </c>
      <c r="S174" t="s">
        <v>40</v>
      </c>
      <c r="T174" t="s">
        <v>30</v>
      </c>
      <c r="U174">
        <v>57</v>
      </c>
      <c r="V174">
        <v>65</v>
      </c>
      <c r="W174">
        <v>62</v>
      </c>
      <c r="X174" s="2">
        <f>AVERAGE(Query1[[#This Row],[Assignment 1 Score]],Query1[[#This Row],[Assignment 2 Score]],Query1[[#This Row],[Midterm Exam Score]])</f>
        <v>61.333333333333336</v>
      </c>
      <c r="Y174" t="str" cm="1">
        <f t="array" ref="Y17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174" s="3">
        <f>Query1[[#This Row],[Final Score]]*5/100</f>
        <v>3.0666666666666669</v>
      </c>
      <c r="AA174" s="4">
        <v>0.85024999999999995</v>
      </c>
      <c r="AB174" s="4"/>
      <c r="AC174" s="5">
        <v>11479</v>
      </c>
      <c r="AD174" s="5">
        <v>1000</v>
      </c>
      <c r="AE174" s="5">
        <f>Query1[[#This Row],[Tuition Fee]]-Query1[[#This Row],[Scholarship Amount]]</f>
        <v>10479</v>
      </c>
      <c r="AF174" t="s">
        <v>31</v>
      </c>
    </row>
    <row r="175" spans="1:32" x14ac:dyDescent="0.35">
      <c r="A175" t="s">
        <v>448</v>
      </c>
      <c r="B175" t="s">
        <v>840</v>
      </c>
      <c r="C175" t="s">
        <v>1262</v>
      </c>
      <c r="D175" t="str">
        <f>LEFT(Query1[[#This Row],[First Name]],1) &amp; "." &amp; Query1[[#This Row],[Last Name]] &amp; "@university.edu"</f>
        <v>V.McGray@university.edu</v>
      </c>
      <c r="E175" t="s">
        <v>43</v>
      </c>
      <c r="F175" s="1">
        <v>37536</v>
      </c>
      <c r="G175" s="2">
        <f ca="1">DATEDIF(Query1[[#This Row],[Date of Birth]],TODAY(),"Y")</f>
        <v>23</v>
      </c>
      <c r="H175" t="s">
        <v>62</v>
      </c>
      <c r="I175">
        <v>2023</v>
      </c>
      <c r="J175" t="s">
        <v>63</v>
      </c>
      <c r="K175" t="s">
        <v>98</v>
      </c>
      <c r="N175" t="s">
        <v>449</v>
      </c>
      <c r="O175" t="s">
        <v>100</v>
      </c>
      <c r="P175">
        <v>5</v>
      </c>
      <c r="Q175" t="s">
        <v>82</v>
      </c>
      <c r="R175" t="s">
        <v>83</v>
      </c>
      <c r="S175" t="s">
        <v>29</v>
      </c>
      <c r="T175" t="s">
        <v>69</v>
      </c>
      <c r="U175">
        <v>81</v>
      </c>
      <c r="V175">
        <v>77</v>
      </c>
      <c r="W175">
        <v>76</v>
      </c>
      <c r="X175" s="2">
        <f>AVERAGE(Query1[[#This Row],[Assignment 1 Score]],Query1[[#This Row],[Assignment 2 Score]],Query1[[#This Row],[Midterm Exam Score]])</f>
        <v>78</v>
      </c>
      <c r="Y175" t="str" cm="1">
        <f t="array" ref="Y17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175" s="3">
        <f>Query1[[#This Row],[Final Score]]*5/100</f>
        <v>3.9</v>
      </c>
      <c r="AA175" s="4">
        <v>0.89024999999999999</v>
      </c>
      <c r="AB175" s="4"/>
      <c r="AC175" s="5">
        <v>15002</v>
      </c>
      <c r="AD175" s="5">
        <v>2000</v>
      </c>
      <c r="AE175" s="5">
        <f>Query1[[#This Row],[Tuition Fee]]-Query1[[#This Row],[Scholarship Amount]]</f>
        <v>13002</v>
      </c>
      <c r="AF175" t="s">
        <v>60</v>
      </c>
    </row>
    <row r="176" spans="1:32" x14ac:dyDescent="0.35">
      <c r="A176" t="s">
        <v>450</v>
      </c>
      <c r="B176" t="s">
        <v>924</v>
      </c>
      <c r="C176" t="s">
        <v>1263</v>
      </c>
      <c r="D176" t="str">
        <f>LEFT(Query1[[#This Row],[First Name]],1) &amp; "." &amp; Query1[[#This Row],[Last Name]] &amp; "@university.edu"</f>
        <v>W.Waiting@university.edu</v>
      </c>
      <c r="E176" t="s">
        <v>32</v>
      </c>
      <c r="F176" s="1">
        <v>37546</v>
      </c>
      <c r="G176" s="2">
        <f ca="1">DATEDIF(Query1[[#This Row],[Date of Birth]],TODAY(),"Y")</f>
        <v>23</v>
      </c>
      <c r="H176" t="s">
        <v>71</v>
      </c>
      <c r="I176">
        <v>2019</v>
      </c>
      <c r="J176" t="s">
        <v>72</v>
      </c>
      <c r="K176" t="s">
        <v>73</v>
      </c>
      <c r="N176" t="s">
        <v>451</v>
      </c>
      <c r="O176" t="s">
        <v>75</v>
      </c>
      <c r="P176">
        <v>4</v>
      </c>
      <c r="Q176" t="s">
        <v>89</v>
      </c>
      <c r="R176" t="s">
        <v>90</v>
      </c>
      <c r="S176" t="s">
        <v>40</v>
      </c>
      <c r="T176" t="s">
        <v>78</v>
      </c>
      <c r="U176">
        <v>60</v>
      </c>
      <c r="V176">
        <v>62</v>
      </c>
      <c r="W176">
        <v>55</v>
      </c>
      <c r="X176" s="2">
        <f>AVERAGE(Query1[[#This Row],[Assignment 1 Score]],Query1[[#This Row],[Assignment 2 Score]],Query1[[#This Row],[Midterm Exam Score]])</f>
        <v>59</v>
      </c>
      <c r="Y176" t="str" cm="1">
        <f t="array" ref="Y17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76" s="3">
        <f>Query1[[#This Row],[Final Score]]*5/100</f>
        <v>2.95</v>
      </c>
      <c r="AA176" s="4">
        <v>0.84199999999999997</v>
      </c>
      <c r="AB176" s="4"/>
      <c r="AC176" s="5">
        <v>12525</v>
      </c>
      <c r="AD176" s="5">
        <v>5000</v>
      </c>
      <c r="AE176" s="5">
        <f>Query1[[#This Row],[Tuition Fee]]-Query1[[#This Row],[Scholarship Amount]]</f>
        <v>7525</v>
      </c>
      <c r="AF176" t="s">
        <v>31</v>
      </c>
    </row>
    <row r="177" spans="1:32" x14ac:dyDescent="0.35">
      <c r="A177" t="s">
        <v>452</v>
      </c>
      <c r="B177" t="s">
        <v>925</v>
      </c>
      <c r="C177" t="s">
        <v>1264</v>
      </c>
      <c r="D177" t="str">
        <f>LEFT(Query1[[#This Row],[First Name]],1) &amp; "." &amp; Query1[[#This Row],[Last Name]] &amp; "@university.edu"</f>
        <v>M.Wilfling@university.edu</v>
      </c>
      <c r="E177" t="s">
        <v>43</v>
      </c>
      <c r="F177" s="1">
        <v>37556</v>
      </c>
      <c r="G177" s="2">
        <f ca="1">DATEDIF(Query1[[#This Row],[Date of Birth]],TODAY(),"Y")</f>
        <v>23</v>
      </c>
      <c r="H177" t="s">
        <v>80</v>
      </c>
      <c r="I177">
        <v>2020</v>
      </c>
      <c r="J177" t="s">
        <v>34</v>
      </c>
      <c r="K177" t="s">
        <v>35</v>
      </c>
      <c r="N177" t="s">
        <v>453</v>
      </c>
      <c r="O177" t="s">
        <v>37</v>
      </c>
      <c r="P177">
        <v>3</v>
      </c>
      <c r="Q177" t="s">
        <v>38</v>
      </c>
      <c r="R177" t="s">
        <v>39</v>
      </c>
      <c r="S177" t="s">
        <v>29</v>
      </c>
      <c r="T177" t="s">
        <v>41</v>
      </c>
      <c r="U177">
        <v>74</v>
      </c>
      <c r="V177">
        <v>74</v>
      </c>
      <c r="W177">
        <v>69</v>
      </c>
      <c r="X177" s="2">
        <f>AVERAGE(Query1[[#This Row],[Assignment 1 Score]],Query1[[#This Row],[Assignment 2 Score]],Query1[[#This Row],[Midterm Exam Score]])</f>
        <v>72.333333333333329</v>
      </c>
      <c r="Y177" t="str" cm="1">
        <f t="array" ref="Y17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77" s="3">
        <f>Query1[[#This Row],[Final Score]]*5/100</f>
        <v>3.6166666666666663</v>
      </c>
      <c r="AA177" s="4">
        <v>0.87824999999999998</v>
      </c>
      <c r="AB177" s="4"/>
      <c r="AC177" s="5">
        <v>12048</v>
      </c>
      <c r="AD177" s="5">
        <v>0</v>
      </c>
      <c r="AE177" s="5">
        <f>Query1[[#This Row],[Tuition Fee]]-Query1[[#This Row],[Scholarship Amount]]</f>
        <v>12048</v>
      </c>
      <c r="AF177" t="s">
        <v>31</v>
      </c>
    </row>
    <row r="178" spans="1:32" x14ac:dyDescent="0.35">
      <c r="A178" t="s">
        <v>454</v>
      </c>
      <c r="B178" t="s">
        <v>926</v>
      </c>
      <c r="C178" t="s">
        <v>1265</v>
      </c>
      <c r="D178" t="str">
        <f>LEFT(Query1[[#This Row],[First Name]],1) &amp; "." &amp; Query1[[#This Row],[Last Name]] &amp; "@university.edu"</f>
        <v>W.Shortell@university.edu</v>
      </c>
      <c r="E178" t="s">
        <v>32</v>
      </c>
      <c r="F178" s="1">
        <v>37566</v>
      </c>
      <c r="G178" s="2">
        <f ca="1">DATEDIF(Query1[[#This Row],[Date of Birth]],TODAY(),"Y")</f>
        <v>23</v>
      </c>
      <c r="H178" t="s">
        <v>85</v>
      </c>
      <c r="I178">
        <v>2021</v>
      </c>
      <c r="J178" t="s">
        <v>45</v>
      </c>
      <c r="K178" t="s">
        <v>131</v>
      </c>
      <c r="N178" t="s">
        <v>455</v>
      </c>
      <c r="O178" t="s">
        <v>133</v>
      </c>
      <c r="P178">
        <v>3</v>
      </c>
      <c r="Q178" t="s">
        <v>49</v>
      </c>
      <c r="R178" t="s">
        <v>50</v>
      </c>
      <c r="S178" t="s">
        <v>40</v>
      </c>
      <c r="T178" t="s">
        <v>51</v>
      </c>
      <c r="U178">
        <v>98</v>
      </c>
      <c r="V178">
        <v>50</v>
      </c>
      <c r="W178">
        <v>99</v>
      </c>
      <c r="X178" s="2">
        <f>AVERAGE(Query1[[#This Row],[Assignment 1 Score]],Query1[[#This Row],[Assignment 2 Score]],Query1[[#This Row],[Midterm Exam Score]])</f>
        <v>82.333333333333329</v>
      </c>
      <c r="Y178" t="str" cm="1">
        <f t="array" ref="Y17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178" s="3">
        <f>Query1[[#This Row],[Final Score]]*5/100</f>
        <v>4.1166666666666663</v>
      </c>
      <c r="AA178" s="4">
        <v>0.93325000000000002</v>
      </c>
      <c r="AB178" s="4"/>
      <c r="AC178" s="5">
        <v>13071</v>
      </c>
      <c r="AD178" s="5">
        <v>2000</v>
      </c>
      <c r="AE178" s="5">
        <f>Query1[[#This Row],[Tuition Fee]]-Query1[[#This Row],[Scholarship Amount]]</f>
        <v>11071</v>
      </c>
      <c r="AF178" t="s">
        <v>60</v>
      </c>
    </row>
    <row r="179" spans="1:32" x14ac:dyDescent="0.35">
      <c r="A179" t="s">
        <v>456</v>
      </c>
      <c r="B179" t="s">
        <v>927</v>
      </c>
      <c r="C179" t="s">
        <v>1266</v>
      </c>
      <c r="D179" t="str">
        <f>LEFT(Query1[[#This Row],[First Name]],1) &amp; "." &amp; Query1[[#This Row],[Last Name]] &amp; "@university.edu"</f>
        <v>J.Braywood@university.edu</v>
      </c>
      <c r="E179" t="s">
        <v>43</v>
      </c>
      <c r="F179" s="1">
        <v>37576</v>
      </c>
      <c r="G179" s="2">
        <f ca="1">DATEDIF(Query1[[#This Row],[Date of Birth]],TODAY(),"Y")</f>
        <v>23</v>
      </c>
      <c r="H179" t="s">
        <v>92</v>
      </c>
      <c r="I179">
        <v>2022</v>
      </c>
      <c r="J179" t="s">
        <v>54</v>
      </c>
      <c r="K179" t="s">
        <v>135</v>
      </c>
      <c r="N179" t="s">
        <v>457</v>
      </c>
      <c r="O179" t="s">
        <v>137</v>
      </c>
      <c r="P179">
        <v>3</v>
      </c>
      <c r="Q179" t="s">
        <v>58</v>
      </c>
      <c r="R179" t="s">
        <v>59</v>
      </c>
      <c r="S179" t="s">
        <v>29</v>
      </c>
      <c r="T179" t="s">
        <v>30</v>
      </c>
      <c r="U179">
        <v>77</v>
      </c>
      <c r="V179">
        <v>60</v>
      </c>
      <c r="W179">
        <v>78</v>
      </c>
      <c r="X179" s="2">
        <f>AVERAGE(Query1[[#This Row],[Assignment 1 Score]],Query1[[#This Row],[Assignment 2 Score]],Query1[[#This Row],[Midterm Exam Score]])</f>
        <v>71.666666666666671</v>
      </c>
      <c r="Y179" t="str" cm="1">
        <f t="array" ref="Y17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79" s="3">
        <f>Query1[[#This Row],[Final Score]]*5/100</f>
        <v>3.5833333333333339</v>
      </c>
      <c r="AA179" s="4">
        <v>0.88500000000000001</v>
      </c>
      <c r="AB179" s="4"/>
      <c r="AC179" s="5">
        <v>11094</v>
      </c>
      <c r="AD179" s="5">
        <v>1000</v>
      </c>
      <c r="AE179" s="5">
        <f>Query1[[#This Row],[Tuition Fee]]-Query1[[#This Row],[Scholarship Amount]]</f>
        <v>10094</v>
      </c>
      <c r="AF179" t="s">
        <v>31</v>
      </c>
    </row>
    <row r="180" spans="1:32" x14ac:dyDescent="0.35">
      <c r="A180" t="s">
        <v>458</v>
      </c>
      <c r="B180" t="s">
        <v>928</v>
      </c>
      <c r="C180" t="s">
        <v>1267</v>
      </c>
      <c r="D180" t="str">
        <f>LEFT(Query1[[#This Row],[First Name]],1) &amp; "." &amp; Query1[[#This Row],[Last Name]] &amp; "@university.edu"</f>
        <v>T.Agass@university.edu</v>
      </c>
      <c r="E180" t="s">
        <v>32</v>
      </c>
      <c r="F180" s="1">
        <v>37586</v>
      </c>
      <c r="G180" s="2">
        <f ca="1">DATEDIF(Query1[[#This Row],[Date of Birth]],TODAY(),"Y")</f>
        <v>22</v>
      </c>
      <c r="H180" t="s">
        <v>97</v>
      </c>
      <c r="I180">
        <v>2023</v>
      </c>
      <c r="J180" t="s">
        <v>63</v>
      </c>
      <c r="K180" t="s">
        <v>120</v>
      </c>
      <c r="N180" t="s">
        <v>459</v>
      </c>
      <c r="O180" t="s">
        <v>122</v>
      </c>
      <c r="P180">
        <v>5</v>
      </c>
      <c r="Q180" t="s">
        <v>67</v>
      </c>
      <c r="R180" t="s">
        <v>68</v>
      </c>
      <c r="S180" t="s">
        <v>40</v>
      </c>
      <c r="T180" t="s">
        <v>69</v>
      </c>
      <c r="U180">
        <v>91</v>
      </c>
      <c r="V180">
        <v>41</v>
      </c>
      <c r="W180">
        <v>92</v>
      </c>
      <c r="X180" s="2">
        <f>AVERAGE(Query1[[#This Row],[Assignment 1 Score]],Query1[[#This Row],[Assignment 2 Score]],Query1[[#This Row],[Midterm Exam Score]])</f>
        <v>74.666666666666671</v>
      </c>
      <c r="Y180" t="str" cm="1">
        <f t="array" ref="Y18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80" s="3">
        <f>Query1[[#This Row],[Final Score]]*5/100</f>
        <v>3.7333333333333338</v>
      </c>
      <c r="AA180" s="4">
        <v>0.9212499999999999</v>
      </c>
      <c r="AB180" s="4"/>
      <c r="AC180" s="5">
        <v>15117</v>
      </c>
      <c r="AD180" s="5">
        <v>1000</v>
      </c>
      <c r="AE180" s="5">
        <f>Query1[[#This Row],[Tuition Fee]]-Query1[[#This Row],[Scholarship Amount]]</f>
        <v>14117</v>
      </c>
      <c r="AF180" t="s">
        <v>31</v>
      </c>
    </row>
    <row r="181" spans="1:32" x14ac:dyDescent="0.35">
      <c r="A181" t="s">
        <v>460</v>
      </c>
      <c r="B181" t="s">
        <v>929</v>
      </c>
      <c r="C181" t="s">
        <v>1268</v>
      </c>
      <c r="D181" t="str">
        <f>LEFT(Query1[[#This Row],[First Name]],1) &amp; "." &amp; Query1[[#This Row],[Last Name]] &amp; "@university.edu"</f>
        <v>K.Gamlen@university.edu</v>
      </c>
      <c r="E181" t="s">
        <v>43</v>
      </c>
      <c r="F181" s="1">
        <v>37596</v>
      </c>
      <c r="G181" s="2">
        <f ca="1">DATEDIF(Query1[[#This Row],[Date of Birth]],TODAY(),"Y")</f>
        <v>22</v>
      </c>
      <c r="H181" t="s">
        <v>102</v>
      </c>
      <c r="I181">
        <v>2019</v>
      </c>
      <c r="J181" t="s">
        <v>72</v>
      </c>
      <c r="K181" t="s">
        <v>73</v>
      </c>
      <c r="N181" t="s">
        <v>461</v>
      </c>
      <c r="O181" t="s">
        <v>75</v>
      </c>
      <c r="P181">
        <v>4</v>
      </c>
      <c r="Q181" t="s">
        <v>76</v>
      </c>
      <c r="R181" t="s">
        <v>77</v>
      </c>
      <c r="S181" t="s">
        <v>29</v>
      </c>
      <c r="T181" t="s">
        <v>78</v>
      </c>
      <c r="U181">
        <v>70</v>
      </c>
      <c r="V181">
        <v>38</v>
      </c>
      <c r="W181">
        <v>71</v>
      </c>
      <c r="X181" s="2">
        <f>AVERAGE(Query1[[#This Row],[Assignment 1 Score]],Query1[[#This Row],[Assignment 2 Score]],Query1[[#This Row],[Midterm Exam Score]])</f>
        <v>59.666666666666664</v>
      </c>
      <c r="Y181" t="str" cm="1">
        <f t="array" ref="Y18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81" s="3">
        <f>Query1[[#This Row],[Final Score]]*5/100</f>
        <v>2.9833333333333329</v>
      </c>
      <c r="AA181" s="4">
        <v>0.873</v>
      </c>
      <c r="AB181" s="4"/>
      <c r="AC181" s="5">
        <v>12640</v>
      </c>
      <c r="AD181" s="5">
        <v>0</v>
      </c>
      <c r="AE181" s="5">
        <f>Query1[[#This Row],[Tuition Fee]]-Query1[[#This Row],[Scholarship Amount]]</f>
        <v>12640</v>
      </c>
      <c r="AF181" t="s">
        <v>60</v>
      </c>
    </row>
    <row r="182" spans="1:32" x14ac:dyDescent="0.35">
      <c r="A182" t="s">
        <v>462</v>
      </c>
      <c r="B182" t="s">
        <v>930</v>
      </c>
      <c r="C182" t="s">
        <v>1269</v>
      </c>
      <c r="D182" t="str">
        <f>LEFT(Query1[[#This Row],[First Name]],1) &amp; "." &amp; Query1[[#This Row],[Last Name]] &amp; "@university.edu"</f>
        <v>S.Mullaney@university.edu</v>
      </c>
      <c r="E182" t="s">
        <v>32</v>
      </c>
      <c r="F182" s="1">
        <v>37606</v>
      </c>
      <c r="G182" s="2">
        <f ca="1">DATEDIF(Query1[[#This Row],[Date of Birth]],TODAY(),"Y")</f>
        <v>22</v>
      </c>
      <c r="H182" t="s">
        <v>105</v>
      </c>
      <c r="I182">
        <v>2020</v>
      </c>
      <c r="J182" t="s">
        <v>34</v>
      </c>
      <c r="K182" t="s">
        <v>35</v>
      </c>
      <c r="N182" t="s">
        <v>463</v>
      </c>
      <c r="O182" t="s">
        <v>37</v>
      </c>
      <c r="P182">
        <v>3</v>
      </c>
      <c r="Q182" t="s">
        <v>82</v>
      </c>
      <c r="R182" t="s">
        <v>83</v>
      </c>
      <c r="S182" t="s">
        <v>40</v>
      </c>
      <c r="T182" t="s">
        <v>41</v>
      </c>
      <c r="U182">
        <v>94</v>
      </c>
      <c r="V182">
        <v>59</v>
      </c>
      <c r="W182">
        <v>85</v>
      </c>
      <c r="X182" s="2">
        <f>AVERAGE(Query1[[#This Row],[Assignment 1 Score]],Query1[[#This Row],[Assignment 2 Score]],Query1[[#This Row],[Midterm Exam Score]])</f>
        <v>79.333333333333329</v>
      </c>
      <c r="Y182" t="str" cm="1">
        <f t="array" ref="Y18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182" s="3">
        <f>Query1[[#This Row],[Final Score]]*5/100</f>
        <v>3.9666666666666663</v>
      </c>
      <c r="AA182" s="4">
        <v>0.93599999999999994</v>
      </c>
      <c r="AB182" s="4"/>
      <c r="AC182" s="5">
        <v>12163</v>
      </c>
      <c r="AD182" s="5">
        <v>1000</v>
      </c>
      <c r="AE182" s="5">
        <f>Query1[[#This Row],[Tuition Fee]]-Query1[[#This Row],[Scholarship Amount]]</f>
        <v>11163</v>
      </c>
      <c r="AF182" t="s">
        <v>31</v>
      </c>
    </row>
    <row r="183" spans="1:32" x14ac:dyDescent="0.35">
      <c r="A183" t="s">
        <v>464</v>
      </c>
      <c r="B183" t="s">
        <v>931</v>
      </c>
      <c r="C183" t="s">
        <v>1270</v>
      </c>
      <c r="D183" t="str">
        <f>LEFT(Query1[[#This Row],[First Name]],1) &amp; "." &amp; Query1[[#This Row],[Last Name]] &amp; "@university.edu"</f>
        <v>O.Antognozzii@university.edu</v>
      </c>
      <c r="E183" t="s">
        <v>43</v>
      </c>
      <c r="F183" s="1">
        <v>37616</v>
      </c>
      <c r="G183" s="2">
        <f ca="1">DATEDIF(Query1[[#This Row],[Date of Birth]],TODAY(),"Y")</f>
        <v>22</v>
      </c>
      <c r="H183" t="s">
        <v>108</v>
      </c>
      <c r="I183">
        <v>2021</v>
      </c>
      <c r="J183" t="s">
        <v>45</v>
      </c>
      <c r="K183" t="s">
        <v>46</v>
      </c>
      <c r="N183" t="s">
        <v>465</v>
      </c>
      <c r="O183" t="s">
        <v>48</v>
      </c>
      <c r="P183">
        <v>3</v>
      </c>
      <c r="Q183" t="s">
        <v>89</v>
      </c>
      <c r="R183" t="s">
        <v>90</v>
      </c>
      <c r="S183" t="s">
        <v>29</v>
      </c>
      <c r="T183" t="s">
        <v>51</v>
      </c>
      <c r="U183">
        <v>73</v>
      </c>
      <c r="V183">
        <v>40</v>
      </c>
      <c r="W183">
        <v>80</v>
      </c>
      <c r="X183" s="2">
        <f>AVERAGE(Query1[[#This Row],[Assignment 1 Score]],Query1[[#This Row],[Assignment 2 Score]],Query1[[#This Row],[Midterm Exam Score]])</f>
        <v>64.333333333333329</v>
      </c>
      <c r="Y183" t="str" cm="1">
        <f t="array" ref="Y18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183" s="3">
        <f>Query1[[#This Row],[Final Score]]*5/100</f>
        <v>3.2166666666666663</v>
      </c>
      <c r="AA183" s="4">
        <v>0.89674999999999994</v>
      </c>
      <c r="AB183" s="4"/>
      <c r="AC183" s="5">
        <v>13186</v>
      </c>
      <c r="AD183" s="5">
        <v>5000</v>
      </c>
      <c r="AE183" s="5">
        <f>Query1[[#This Row],[Tuition Fee]]-Query1[[#This Row],[Scholarship Amount]]</f>
        <v>8186</v>
      </c>
      <c r="AF183" t="s">
        <v>31</v>
      </c>
    </row>
    <row r="184" spans="1:32" x14ac:dyDescent="0.35">
      <c r="A184" t="s">
        <v>466</v>
      </c>
      <c r="B184" t="s">
        <v>932</v>
      </c>
      <c r="C184" t="s">
        <v>1271</v>
      </c>
      <c r="D184" t="str">
        <f>LEFT(Query1[[#This Row],[First Name]],1) &amp; "." &amp; Query1[[#This Row],[Last Name]] &amp; "@university.edu"</f>
        <v>S.Pearson@university.edu</v>
      </c>
      <c r="E184" t="s">
        <v>32</v>
      </c>
      <c r="F184" s="1">
        <v>37626</v>
      </c>
      <c r="G184" s="2">
        <f ca="1">DATEDIF(Query1[[#This Row],[Date of Birth]],TODAY(),"Y")</f>
        <v>22</v>
      </c>
      <c r="H184" t="s">
        <v>113</v>
      </c>
      <c r="I184">
        <v>2022</v>
      </c>
      <c r="J184" t="s">
        <v>54</v>
      </c>
      <c r="K184" t="s">
        <v>55</v>
      </c>
      <c r="N184" t="s">
        <v>467</v>
      </c>
      <c r="O184" t="s">
        <v>57</v>
      </c>
      <c r="P184">
        <v>3</v>
      </c>
      <c r="Q184" t="s">
        <v>38</v>
      </c>
      <c r="R184" t="s">
        <v>39</v>
      </c>
      <c r="S184" t="s">
        <v>40</v>
      </c>
      <c r="T184" t="s">
        <v>30</v>
      </c>
      <c r="U184">
        <v>87</v>
      </c>
      <c r="V184">
        <v>34</v>
      </c>
      <c r="W184">
        <v>94</v>
      </c>
      <c r="X184" s="2">
        <f>AVERAGE(Query1[[#This Row],[Assignment 1 Score]],Query1[[#This Row],[Assignment 2 Score]],Query1[[#This Row],[Midterm Exam Score]])</f>
        <v>71.666666666666671</v>
      </c>
      <c r="Y184" t="str" cm="1">
        <f t="array" ref="Y18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84" s="3">
        <f>Query1[[#This Row],[Final Score]]*5/100</f>
        <v>3.5833333333333339</v>
      </c>
      <c r="AA184" s="4">
        <v>0.93599999999999994</v>
      </c>
      <c r="AB184" s="4"/>
      <c r="AC184" s="5">
        <v>11209</v>
      </c>
      <c r="AD184" s="5">
        <v>2000</v>
      </c>
      <c r="AE184" s="5">
        <f>Query1[[#This Row],[Tuition Fee]]-Query1[[#This Row],[Scholarship Amount]]</f>
        <v>9209</v>
      </c>
      <c r="AF184" t="s">
        <v>60</v>
      </c>
    </row>
    <row r="185" spans="1:32" x14ac:dyDescent="0.35">
      <c r="A185" t="s">
        <v>468</v>
      </c>
      <c r="B185" t="s">
        <v>933</v>
      </c>
      <c r="C185" t="s">
        <v>1272</v>
      </c>
      <c r="D185" t="str">
        <f>LEFT(Query1[[#This Row],[First Name]],1) &amp; "." &amp; Query1[[#This Row],[Last Name]] &amp; "@university.edu"</f>
        <v>M.Greet@university.edu</v>
      </c>
      <c r="E185" t="s">
        <v>43</v>
      </c>
      <c r="F185" s="1">
        <v>37636</v>
      </c>
      <c r="G185" s="2">
        <f ca="1">DATEDIF(Query1[[#This Row],[Date of Birth]],TODAY(),"Y")</f>
        <v>22</v>
      </c>
      <c r="H185" t="s">
        <v>119</v>
      </c>
      <c r="I185">
        <v>2023</v>
      </c>
      <c r="J185" t="s">
        <v>63</v>
      </c>
      <c r="K185" t="s">
        <v>64</v>
      </c>
      <c r="N185" t="s">
        <v>469</v>
      </c>
      <c r="O185" t="s">
        <v>66</v>
      </c>
      <c r="P185">
        <v>5</v>
      </c>
      <c r="Q185" t="s">
        <v>49</v>
      </c>
      <c r="R185" t="s">
        <v>50</v>
      </c>
      <c r="S185" t="s">
        <v>29</v>
      </c>
      <c r="T185" t="s">
        <v>69</v>
      </c>
      <c r="U185">
        <v>76</v>
      </c>
      <c r="V185">
        <v>56</v>
      </c>
      <c r="W185">
        <v>73</v>
      </c>
      <c r="X185" s="2">
        <f>AVERAGE(Query1[[#This Row],[Assignment 1 Score]],Query1[[#This Row],[Assignment 2 Score]],Query1[[#This Row],[Midterm Exam Score]])</f>
        <v>68.333333333333329</v>
      </c>
      <c r="Y185" t="str" cm="1">
        <f t="array" ref="Y18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85" s="3">
        <f>Query1[[#This Row],[Final Score]]*5/100</f>
        <v>3.4166666666666661</v>
      </c>
      <c r="AA185" s="4">
        <v>0.88849999999999996</v>
      </c>
      <c r="AB185" s="4"/>
      <c r="AC185" s="5">
        <v>15232</v>
      </c>
      <c r="AD185" s="5">
        <v>0</v>
      </c>
      <c r="AE185" s="5">
        <f>Query1[[#This Row],[Tuition Fee]]-Query1[[#This Row],[Scholarship Amount]]</f>
        <v>15232</v>
      </c>
      <c r="AF185" t="s">
        <v>31</v>
      </c>
    </row>
    <row r="186" spans="1:32" x14ac:dyDescent="0.35">
      <c r="A186" t="s">
        <v>470</v>
      </c>
      <c r="B186" t="s">
        <v>934</v>
      </c>
      <c r="C186" t="s">
        <v>1273</v>
      </c>
      <c r="D186" t="str">
        <f>LEFT(Query1[[#This Row],[First Name]],1) &amp; "." &amp; Query1[[#This Row],[Last Name]] &amp; "@university.edu"</f>
        <v>W.Peet@university.edu</v>
      </c>
      <c r="E186" t="s">
        <v>32</v>
      </c>
      <c r="F186" s="1">
        <v>37646</v>
      </c>
      <c r="G186" s="2">
        <f ca="1">DATEDIF(Query1[[#This Row],[Date of Birth]],TODAY(),"Y")</f>
        <v>22</v>
      </c>
      <c r="H186" t="s">
        <v>124</v>
      </c>
      <c r="I186">
        <v>2019</v>
      </c>
      <c r="J186" t="s">
        <v>72</v>
      </c>
      <c r="K186" t="s">
        <v>73</v>
      </c>
      <c r="N186" t="s">
        <v>471</v>
      </c>
      <c r="O186" t="s">
        <v>75</v>
      </c>
      <c r="P186">
        <v>4</v>
      </c>
      <c r="Q186" t="s">
        <v>58</v>
      </c>
      <c r="R186" t="s">
        <v>59</v>
      </c>
      <c r="S186" t="s">
        <v>40</v>
      </c>
      <c r="T186" t="s">
        <v>78</v>
      </c>
      <c r="U186">
        <v>90</v>
      </c>
      <c r="V186">
        <v>32</v>
      </c>
      <c r="W186">
        <v>87</v>
      </c>
      <c r="X186" s="2">
        <f>AVERAGE(Query1[[#This Row],[Assignment 1 Score]],Query1[[#This Row],[Assignment 2 Score]],Query1[[#This Row],[Midterm Exam Score]])</f>
        <v>69.666666666666671</v>
      </c>
      <c r="Y186" t="str" cm="1">
        <f t="array" ref="Y18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86" s="3">
        <f>Query1[[#This Row],[Final Score]]*5/100</f>
        <v>3.4833333333333338</v>
      </c>
      <c r="AA186" s="4">
        <v>0.92774999999999996</v>
      </c>
      <c r="AB186" s="4"/>
      <c r="AC186" s="5">
        <v>12755</v>
      </c>
      <c r="AD186" s="5">
        <v>1000</v>
      </c>
      <c r="AE186" s="5">
        <f>Query1[[#This Row],[Tuition Fee]]-Query1[[#This Row],[Scholarship Amount]]</f>
        <v>11755</v>
      </c>
      <c r="AF186" t="s">
        <v>31</v>
      </c>
    </row>
    <row r="187" spans="1:32" x14ac:dyDescent="0.35">
      <c r="A187" t="s">
        <v>472</v>
      </c>
      <c r="B187" t="s">
        <v>935</v>
      </c>
      <c r="C187" t="s">
        <v>1274</v>
      </c>
      <c r="D187" t="str">
        <f>LEFT(Query1[[#This Row],[First Name]],1) &amp; "." &amp; Query1[[#This Row],[Last Name]] &amp; "@university.edu"</f>
        <v>A.Rittelmeyer@university.edu</v>
      </c>
      <c r="E187" t="s">
        <v>43</v>
      </c>
      <c r="F187" s="1">
        <v>37656</v>
      </c>
      <c r="G187" s="2">
        <f ca="1">DATEDIF(Query1[[#This Row],[Date of Birth]],TODAY(),"Y")</f>
        <v>22</v>
      </c>
      <c r="H187" t="s">
        <v>127</v>
      </c>
      <c r="I187">
        <v>2020</v>
      </c>
      <c r="J187" t="s">
        <v>34</v>
      </c>
      <c r="K187" t="s">
        <v>35</v>
      </c>
      <c r="N187" t="s">
        <v>473</v>
      </c>
      <c r="O187" t="s">
        <v>37</v>
      </c>
      <c r="P187">
        <v>3</v>
      </c>
      <c r="Q187" t="s">
        <v>67</v>
      </c>
      <c r="R187" t="s">
        <v>68</v>
      </c>
      <c r="S187" t="s">
        <v>29</v>
      </c>
      <c r="T187" t="s">
        <v>41</v>
      </c>
      <c r="U187">
        <v>69</v>
      </c>
      <c r="V187">
        <v>44</v>
      </c>
      <c r="W187">
        <v>66</v>
      </c>
      <c r="X187" s="2">
        <f>AVERAGE(Query1[[#This Row],[Assignment 1 Score]],Query1[[#This Row],[Assignment 2 Score]],Query1[[#This Row],[Midterm Exam Score]])</f>
        <v>59.666666666666664</v>
      </c>
      <c r="Y187" t="str" cm="1">
        <f t="array" ref="Y18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87" s="3">
        <f>Query1[[#This Row],[Final Score]]*5/100</f>
        <v>2.9833333333333329</v>
      </c>
      <c r="AA187" s="4">
        <v>0.87949999999999995</v>
      </c>
      <c r="AB187" s="4"/>
      <c r="AC187" s="5">
        <v>12278</v>
      </c>
      <c r="AD187" s="5">
        <v>2000</v>
      </c>
      <c r="AE187" s="5">
        <f>Query1[[#This Row],[Tuition Fee]]-Query1[[#This Row],[Scholarship Amount]]</f>
        <v>10278</v>
      </c>
      <c r="AF187" t="s">
        <v>60</v>
      </c>
    </row>
    <row r="188" spans="1:32" x14ac:dyDescent="0.35">
      <c r="A188" t="s">
        <v>474</v>
      </c>
      <c r="B188" t="s">
        <v>936</v>
      </c>
      <c r="C188" t="s">
        <v>1275</v>
      </c>
      <c r="D188" t="str">
        <f>LEFT(Query1[[#This Row],[First Name]],1) &amp; "." &amp; Query1[[#This Row],[Last Name]] &amp; "@university.edu"</f>
        <v>I.Kordova@university.edu</v>
      </c>
      <c r="E188" t="s">
        <v>32</v>
      </c>
      <c r="F188" s="1">
        <v>37666</v>
      </c>
      <c r="G188" s="2">
        <f ca="1">DATEDIF(Query1[[#This Row],[Date of Birth]],TODAY(),"Y")</f>
        <v>22</v>
      </c>
      <c r="H188" t="s">
        <v>130</v>
      </c>
      <c r="I188">
        <v>2021</v>
      </c>
      <c r="J188" t="s">
        <v>45</v>
      </c>
      <c r="K188" t="s">
        <v>86</v>
      </c>
      <c r="N188" t="s">
        <v>475</v>
      </c>
      <c r="O188" t="s">
        <v>88</v>
      </c>
      <c r="P188">
        <v>3</v>
      </c>
      <c r="Q188" t="s">
        <v>76</v>
      </c>
      <c r="R188" t="s">
        <v>77</v>
      </c>
      <c r="S188" t="s">
        <v>40</v>
      </c>
      <c r="T188" t="s">
        <v>51</v>
      </c>
      <c r="U188">
        <v>93</v>
      </c>
      <c r="V188">
        <v>70</v>
      </c>
      <c r="W188">
        <v>96</v>
      </c>
      <c r="X188" s="2">
        <f>AVERAGE(Query1[[#This Row],[Assignment 1 Score]],Query1[[#This Row],[Assignment 2 Score]],Query1[[#This Row],[Midterm Exam Score]])</f>
        <v>86.333333333333329</v>
      </c>
      <c r="Y188" t="str" cm="1">
        <f t="array" ref="Y18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188" s="3">
        <f>Query1[[#This Row],[Final Score]]*5/100</f>
        <v>4.3166666666666664</v>
      </c>
      <c r="AA188" s="4">
        <v>0.93149999999999999</v>
      </c>
      <c r="AB188" s="4"/>
      <c r="AC188" s="5">
        <v>13301</v>
      </c>
      <c r="AD188" s="5">
        <v>1000</v>
      </c>
      <c r="AE188" s="5">
        <f>Query1[[#This Row],[Tuition Fee]]-Query1[[#This Row],[Scholarship Amount]]</f>
        <v>12301</v>
      </c>
      <c r="AF188" t="s">
        <v>31</v>
      </c>
    </row>
    <row r="189" spans="1:32" x14ac:dyDescent="0.35">
      <c r="A189" t="s">
        <v>476</v>
      </c>
      <c r="B189" t="s">
        <v>937</v>
      </c>
      <c r="C189" t="s">
        <v>1276</v>
      </c>
      <c r="D189" t="str">
        <f>LEFT(Query1[[#This Row],[First Name]],1) &amp; "." &amp; Query1[[#This Row],[Last Name]] &amp; "@university.edu"</f>
        <v>M.Leffek@university.edu</v>
      </c>
      <c r="E189" t="s">
        <v>43</v>
      </c>
      <c r="F189" s="1">
        <v>37676</v>
      </c>
      <c r="G189" s="2">
        <f ca="1">DATEDIF(Query1[[#This Row],[Date of Birth]],TODAY(),"Y")</f>
        <v>22</v>
      </c>
      <c r="H189" t="s">
        <v>33</v>
      </c>
      <c r="I189">
        <v>2022</v>
      </c>
      <c r="J189" t="s">
        <v>54</v>
      </c>
      <c r="K189" t="s">
        <v>93</v>
      </c>
      <c r="N189" t="s">
        <v>477</v>
      </c>
      <c r="O189" t="s">
        <v>95</v>
      </c>
      <c r="P189">
        <v>3</v>
      </c>
      <c r="Q189" t="s">
        <v>82</v>
      </c>
      <c r="R189" t="s">
        <v>83</v>
      </c>
      <c r="S189" t="s">
        <v>29</v>
      </c>
      <c r="T189" t="s">
        <v>30</v>
      </c>
      <c r="U189">
        <v>72</v>
      </c>
      <c r="V189">
        <v>80</v>
      </c>
      <c r="W189">
        <v>75</v>
      </c>
      <c r="X189" s="2">
        <f>AVERAGE(Query1[[#This Row],[Assignment 1 Score]],Query1[[#This Row],[Assignment 2 Score]],Query1[[#This Row],[Midterm Exam Score]])</f>
        <v>75.666666666666671</v>
      </c>
      <c r="Y189" t="str" cm="1">
        <f t="array" ref="Y18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89" s="3">
        <f>Query1[[#This Row],[Final Score]]*5/100</f>
        <v>3.7833333333333337</v>
      </c>
      <c r="AA189" s="4">
        <v>0.88324999999999998</v>
      </c>
      <c r="AB189" s="4"/>
      <c r="AC189" s="5">
        <v>11324</v>
      </c>
      <c r="AD189" s="5">
        <v>0</v>
      </c>
      <c r="AE189" s="5">
        <f>Query1[[#This Row],[Tuition Fee]]-Query1[[#This Row],[Scholarship Amount]]</f>
        <v>11324</v>
      </c>
      <c r="AF189" t="s">
        <v>31</v>
      </c>
    </row>
    <row r="190" spans="1:32" x14ac:dyDescent="0.35">
      <c r="A190" t="s">
        <v>478</v>
      </c>
      <c r="B190" t="s">
        <v>938</v>
      </c>
      <c r="C190" t="s">
        <v>1277</v>
      </c>
      <c r="D190" t="str">
        <f>LEFT(Query1[[#This Row],[First Name]],1) &amp; "." &amp; Query1[[#This Row],[Last Name]] &amp; "@university.edu"</f>
        <v>B.Roden@university.edu</v>
      </c>
      <c r="E190" t="s">
        <v>32</v>
      </c>
      <c r="F190" s="1">
        <v>37686</v>
      </c>
      <c r="G190" s="2">
        <f ca="1">DATEDIF(Query1[[#This Row],[Date of Birth]],TODAY(),"Y")</f>
        <v>22</v>
      </c>
      <c r="H190" t="s">
        <v>44</v>
      </c>
      <c r="I190">
        <v>2023</v>
      </c>
      <c r="J190" t="s">
        <v>63</v>
      </c>
      <c r="K190" t="s">
        <v>98</v>
      </c>
      <c r="N190" t="s">
        <v>479</v>
      </c>
      <c r="O190" t="s">
        <v>100</v>
      </c>
      <c r="P190">
        <v>5</v>
      </c>
      <c r="Q190" t="s">
        <v>89</v>
      </c>
      <c r="R190" t="s">
        <v>90</v>
      </c>
      <c r="S190" t="s">
        <v>40</v>
      </c>
      <c r="T190" t="s">
        <v>69</v>
      </c>
      <c r="U190">
        <v>86</v>
      </c>
      <c r="V190">
        <v>45</v>
      </c>
      <c r="W190">
        <v>89</v>
      </c>
      <c r="X190" s="2">
        <f>AVERAGE(Query1[[#This Row],[Assignment 1 Score]],Query1[[#This Row],[Assignment 2 Score]],Query1[[#This Row],[Midterm Exam Score]])</f>
        <v>73.333333333333329</v>
      </c>
      <c r="Y190" t="str" cm="1">
        <f t="array" ref="Y19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90" s="3">
        <f>Query1[[#This Row],[Final Score]]*5/100</f>
        <v>3.6666666666666661</v>
      </c>
      <c r="AA190" s="4">
        <v>0.92249999999999999</v>
      </c>
      <c r="AB190" s="4"/>
      <c r="AC190" s="5">
        <v>15347</v>
      </c>
      <c r="AD190" s="5">
        <v>5000</v>
      </c>
      <c r="AE190" s="5">
        <f>Query1[[#This Row],[Tuition Fee]]-Query1[[#This Row],[Scholarship Amount]]</f>
        <v>10347</v>
      </c>
      <c r="AF190" t="s">
        <v>60</v>
      </c>
    </row>
    <row r="191" spans="1:32" x14ac:dyDescent="0.35">
      <c r="A191" t="s">
        <v>480</v>
      </c>
      <c r="B191" t="s">
        <v>939</v>
      </c>
      <c r="C191" t="s">
        <v>1278</v>
      </c>
      <c r="D191" t="str">
        <f>LEFT(Query1[[#This Row],[First Name]],1) &amp; "." &amp; Query1[[#This Row],[Last Name]] &amp; "@university.edu"</f>
        <v>W.Mishaw@university.edu</v>
      </c>
      <c r="E191" t="s">
        <v>43</v>
      </c>
      <c r="F191" s="1">
        <v>37696</v>
      </c>
      <c r="G191" s="2">
        <f ca="1">DATEDIF(Query1[[#This Row],[Date of Birth]],TODAY(),"Y")</f>
        <v>22</v>
      </c>
      <c r="H191" t="s">
        <v>53</v>
      </c>
      <c r="I191">
        <v>2019</v>
      </c>
      <c r="J191" t="s">
        <v>72</v>
      </c>
      <c r="K191" t="s">
        <v>73</v>
      </c>
      <c r="N191" t="s">
        <v>481</v>
      </c>
      <c r="O191" t="s">
        <v>75</v>
      </c>
      <c r="P191">
        <v>4</v>
      </c>
      <c r="Q191" t="s">
        <v>38</v>
      </c>
      <c r="R191" t="s">
        <v>39</v>
      </c>
      <c r="S191" t="s">
        <v>29</v>
      </c>
      <c r="T191" t="s">
        <v>78</v>
      </c>
      <c r="U191">
        <v>65</v>
      </c>
      <c r="V191">
        <v>34</v>
      </c>
      <c r="W191">
        <v>68</v>
      </c>
      <c r="X191" s="2">
        <f>AVERAGE(Query1[[#This Row],[Assignment 1 Score]],Query1[[#This Row],[Assignment 2 Score]],Query1[[#This Row],[Midterm Exam Score]])</f>
        <v>55.666666666666664</v>
      </c>
      <c r="Y191" t="str" cm="1">
        <f t="array" ref="Y19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91" s="3">
        <f>Query1[[#This Row],[Final Score]]*5/100</f>
        <v>2.7833333333333332</v>
      </c>
      <c r="AA191" s="4">
        <v>0.87124999999999997</v>
      </c>
      <c r="AB191" s="4"/>
      <c r="AC191" s="5">
        <v>12870</v>
      </c>
      <c r="AD191" s="5">
        <v>1000</v>
      </c>
      <c r="AE191" s="5">
        <f>Query1[[#This Row],[Tuition Fee]]-Query1[[#This Row],[Scholarship Amount]]</f>
        <v>11870</v>
      </c>
      <c r="AF191" t="s">
        <v>31</v>
      </c>
    </row>
    <row r="192" spans="1:32" x14ac:dyDescent="0.35">
      <c r="A192" t="s">
        <v>482</v>
      </c>
      <c r="B192" t="s">
        <v>940</v>
      </c>
      <c r="C192" t="s">
        <v>1279</v>
      </c>
      <c r="D192" t="str">
        <f>LEFT(Query1[[#This Row],[First Name]],1) &amp; "." &amp; Query1[[#This Row],[Last Name]] &amp; "@university.edu"</f>
        <v>G.McCullough@university.edu</v>
      </c>
      <c r="E192" t="s">
        <v>32</v>
      </c>
      <c r="F192" s="1">
        <v>37706</v>
      </c>
      <c r="G192" s="2">
        <f ca="1">DATEDIF(Query1[[#This Row],[Date of Birth]],TODAY(),"Y")</f>
        <v>22</v>
      </c>
      <c r="H192" t="s">
        <v>62</v>
      </c>
      <c r="I192">
        <v>2020</v>
      </c>
      <c r="J192" t="s">
        <v>34</v>
      </c>
      <c r="K192" t="s">
        <v>35</v>
      </c>
      <c r="N192" t="s">
        <v>483</v>
      </c>
      <c r="O192" t="s">
        <v>37</v>
      </c>
      <c r="P192">
        <v>3</v>
      </c>
      <c r="Q192" t="s">
        <v>49</v>
      </c>
      <c r="R192" t="s">
        <v>50</v>
      </c>
      <c r="S192" t="s">
        <v>40</v>
      </c>
      <c r="T192" t="s">
        <v>41</v>
      </c>
      <c r="U192">
        <v>89</v>
      </c>
      <c r="V192">
        <v>33</v>
      </c>
      <c r="W192">
        <v>82</v>
      </c>
      <c r="X192" s="2">
        <f>AVERAGE(Query1[[#This Row],[Assignment 1 Score]],Query1[[#This Row],[Assignment 2 Score]],Query1[[#This Row],[Midterm Exam Score]])</f>
        <v>68</v>
      </c>
      <c r="Y192" t="str" cm="1">
        <f t="array" ref="Y19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92" s="3">
        <f>Query1[[#This Row],[Final Score]]*5/100</f>
        <v>3.4</v>
      </c>
      <c r="AA192" s="4">
        <v>0.9142499999999999</v>
      </c>
      <c r="AB192" s="4"/>
      <c r="AC192" s="5">
        <v>12393</v>
      </c>
      <c r="AD192" s="5">
        <v>1000</v>
      </c>
      <c r="AE192" s="5">
        <f>Query1[[#This Row],[Tuition Fee]]-Query1[[#This Row],[Scholarship Amount]]</f>
        <v>11393</v>
      </c>
      <c r="AF192" t="s">
        <v>31</v>
      </c>
    </row>
    <row r="193" spans="1:32" x14ac:dyDescent="0.35">
      <c r="A193" t="s">
        <v>484</v>
      </c>
      <c r="B193" t="s">
        <v>941</v>
      </c>
      <c r="C193" t="s">
        <v>1280</v>
      </c>
      <c r="D193" t="str">
        <f>LEFT(Query1[[#This Row],[First Name]],1) &amp; "." &amp; Query1[[#This Row],[Last Name]] &amp; "@university.edu"</f>
        <v>C.Budgeon@university.edu</v>
      </c>
      <c r="E193" t="s">
        <v>43</v>
      </c>
      <c r="F193" s="1">
        <v>37716</v>
      </c>
      <c r="G193" s="2">
        <f ca="1">DATEDIF(Query1[[#This Row],[Date of Birth]],TODAY(),"Y")</f>
        <v>22</v>
      </c>
      <c r="H193" t="s">
        <v>71</v>
      </c>
      <c r="I193">
        <v>2021</v>
      </c>
      <c r="J193" t="s">
        <v>45</v>
      </c>
      <c r="K193" t="s">
        <v>109</v>
      </c>
      <c r="N193" t="s">
        <v>485</v>
      </c>
      <c r="O193" t="s">
        <v>111</v>
      </c>
      <c r="P193">
        <v>3</v>
      </c>
      <c r="Q193" t="s">
        <v>58</v>
      </c>
      <c r="R193" t="s">
        <v>59</v>
      </c>
      <c r="S193" t="s">
        <v>29</v>
      </c>
      <c r="T193" t="s">
        <v>51</v>
      </c>
      <c r="U193">
        <v>68</v>
      </c>
      <c r="V193">
        <v>31</v>
      </c>
      <c r="W193">
        <v>61</v>
      </c>
      <c r="X193" s="2">
        <f>AVERAGE(Query1[[#This Row],[Assignment 1 Score]],Query1[[#This Row],[Assignment 2 Score]],Query1[[#This Row],[Midterm Exam Score]])</f>
        <v>53.333333333333336</v>
      </c>
      <c r="Y193" t="str" cm="1">
        <f t="array" ref="Y19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93" s="3">
        <f>Query1[[#This Row],[Final Score]]*5/100</f>
        <v>2.666666666666667</v>
      </c>
      <c r="AA193" s="4">
        <v>0.76300000000000001</v>
      </c>
      <c r="AB193" s="4"/>
      <c r="AC193" s="5">
        <v>13416</v>
      </c>
      <c r="AD193" s="5">
        <v>0</v>
      </c>
      <c r="AE193" s="5">
        <f>Query1[[#This Row],[Tuition Fee]]-Query1[[#This Row],[Scholarship Amount]]</f>
        <v>13416</v>
      </c>
      <c r="AF193" t="s">
        <v>60</v>
      </c>
    </row>
    <row r="194" spans="1:32" x14ac:dyDescent="0.35">
      <c r="A194" t="s">
        <v>486</v>
      </c>
      <c r="B194" t="s">
        <v>942</v>
      </c>
      <c r="C194" t="s">
        <v>1281</v>
      </c>
      <c r="D194" t="str">
        <f>LEFT(Query1[[#This Row],[First Name]],1) &amp; "." &amp; Query1[[#This Row],[Last Name]] &amp; "@university.edu"</f>
        <v>J.Cattroll@university.edu</v>
      </c>
      <c r="E194" t="s">
        <v>32</v>
      </c>
      <c r="F194" s="1">
        <v>37726</v>
      </c>
      <c r="G194" s="2">
        <f ca="1">DATEDIF(Query1[[#This Row],[Date of Birth]],TODAY(),"Y")</f>
        <v>22</v>
      </c>
      <c r="H194" t="s">
        <v>80</v>
      </c>
      <c r="I194">
        <v>2022</v>
      </c>
      <c r="J194" t="s">
        <v>54</v>
      </c>
      <c r="K194" t="s">
        <v>114</v>
      </c>
      <c r="N194" t="s">
        <v>487</v>
      </c>
      <c r="O194" t="s">
        <v>116</v>
      </c>
      <c r="P194">
        <v>3</v>
      </c>
      <c r="Q194" t="s">
        <v>67</v>
      </c>
      <c r="R194" t="s">
        <v>68</v>
      </c>
      <c r="S194" t="s">
        <v>40</v>
      </c>
      <c r="T194" t="s">
        <v>30</v>
      </c>
      <c r="U194">
        <v>82</v>
      </c>
      <c r="V194">
        <v>36</v>
      </c>
      <c r="W194">
        <v>91</v>
      </c>
      <c r="X194" s="2">
        <f>AVERAGE(Query1[[#This Row],[Assignment 1 Score]],Query1[[#This Row],[Assignment 2 Score]],Query1[[#This Row],[Midterm Exam Score]])</f>
        <v>69.666666666666671</v>
      </c>
      <c r="Y194" t="str" cm="1">
        <f t="array" ref="Y19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94" s="3">
        <f>Query1[[#This Row],[Final Score]]*5/100</f>
        <v>3.4833333333333338</v>
      </c>
      <c r="AA194" s="4">
        <v>0.91425000000000001</v>
      </c>
      <c r="AB194" s="4"/>
      <c r="AC194" s="5">
        <v>11439</v>
      </c>
      <c r="AD194" s="5">
        <v>1000</v>
      </c>
      <c r="AE194" s="5">
        <f>Query1[[#This Row],[Tuition Fee]]-Query1[[#This Row],[Scholarship Amount]]</f>
        <v>10439</v>
      </c>
      <c r="AF194" t="s">
        <v>31</v>
      </c>
    </row>
    <row r="195" spans="1:32" x14ac:dyDescent="0.35">
      <c r="A195" t="s">
        <v>488</v>
      </c>
      <c r="B195" t="s">
        <v>943</v>
      </c>
      <c r="C195" t="s">
        <v>1282</v>
      </c>
      <c r="D195" t="str">
        <f>LEFT(Query1[[#This Row],[First Name]],1) &amp; "." &amp; Query1[[#This Row],[Last Name]] &amp; "@university.edu"</f>
        <v>K.Aymer@university.edu</v>
      </c>
      <c r="E195" t="s">
        <v>43</v>
      </c>
      <c r="F195" s="1">
        <v>37736</v>
      </c>
      <c r="G195" s="2">
        <f ca="1">DATEDIF(Query1[[#This Row],[Date of Birth]],TODAY(),"Y")</f>
        <v>22</v>
      </c>
      <c r="H195" t="s">
        <v>85</v>
      </c>
      <c r="I195">
        <v>2023</v>
      </c>
      <c r="J195" t="s">
        <v>63</v>
      </c>
      <c r="K195" t="s">
        <v>120</v>
      </c>
      <c r="N195" t="s">
        <v>489</v>
      </c>
      <c r="O195" t="s">
        <v>122</v>
      </c>
      <c r="P195">
        <v>5</v>
      </c>
      <c r="Q195" t="s">
        <v>76</v>
      </c>
      <c r="R195" t="s">
        <v>77</v>
      </c>
      <c r="S195" t="s">
        <v>29</v>
      </c>
      <c r="T195" t="s">
        <v>69</v>
      </c>
      <c r="U195">
        <v>71</v>
      </c>
      <c r="V195">
        <v>76</v>
      </c>
      <c r="W195">
        <v>70</v>
      </c>
      <c r="X195" s="2">
        <f>AVERAGE(Query1[[#This Row],[Assignment 1 Score]],Query1[[#This Row],[Assignment 2 Score]],Query1[[#This Row],[Midterm Exam Score]])</f>
        <v>72.333333333333329</v>
      </c>
      <c r="Y195" t="str" cm="1">
        <f t="array" ref="Y19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95" s="3">
        <f>Query1[[#This Row],[Final Score]]*5/100</f>
        <v>3.6166666666666663</v>
      </c>
      <c r="AA195" s="4">
        <v>0.86975000000000002</v>
      </c>
      <c r="AB195" s="4"/>
      <c r="AC195" s="5">
        <v>15462</v>
      </c>
      <c r="AD195" s="5">
        <v>1000</v>
      </c>
      <c r="AE195" s="5">
        <f>Query1[[#This Row],[Tuition Fee]]-Query1[[#This Row],[Scholarship Amount]]</f>
        <v>14462</v>
      </c>
      <c r="AF195" t="s">
        <v>31</v>
      </c>
    </row>
    <row r="196" spans="1:32" x14ac:dyDescent="0.35">
      <c r="A196" t="s">
        <v>490</v>
      </c>
      <c r="B196" t="s">
        <v>944</v>
      </c>
      <c r="C196" t="s">
        <v>1283</v>
      </c>
      <c r="D196" t="str">
        <f>LEFT(Query1[[#This Row],[First Name]],1) &amp; "." &amp; Query1[[#This Row],[Last Name]] &amp; "@university.edu"</f>
        <v>T.Kebbell@university.edu</v>
      </c>
      <c r="E196" t="s">
        <v>32</v>
      </c>
      <c r="F196" s="1">
        <v>37746</v>
      </c>
      <c r="G196" s="2">
        <f ca="1">DATEDIF(Query1[[#This Row],[Date of Birth]],TODAY(),"Y")</f>
        <v>22</v>
      </c>
      <c r="H196" t="s">
        <v>92</v>
      </c>
      <c r="I196">
        <v>2019</v>
      </c>
      <c r="J196" t="s">
        <v>72</v>
      </c>
      <c r="K196" t="s">
        <v>73</v>
      </c>
      <c r="N196" t="s">
        <v>491</v>
      </c>
      <c r="O196" t="s">
        <v>75</v>
      </c>
      <c r="P196">
        <v>4</v>
      </c>
      <c r="Q196" t="s">
        <v>82</v>
      </c>
      <c r="R196" t="s">
        <v>83</v>
      </c>
      <c r="S196" t="s">
        <v>40</v>
      </c>
      <c r="T196" t="s">
        <v>78</v>
      </c>
      <c r="U196">
        <v>85</v>
      </c>
      <c r="V196">
        <v>40</v>
      </c>
      <c r="W196">
        <v>84</v>
      </c>
      <c r="X196" s="2">
        <f>AVERAGE(Query1[[#This Row],[Assignment 1 Score]],Query1[[#This Row],[Assignment 2 Score]],Query1[[#This Row],[Midterm Exam Score]])</f>
        <v>69.666666666666671</v>
      </c>
      <c r="Y196" t="str" cm="1">
        <f t="array" ref="Y19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196" s="3">
        <f>Query1[[#This Row],[Final Score]]*5/100</f>
        <v>3.4833333333333338</v>
      </c>
      <c r="AA196" s="4">
        <v>0.90599999999999992</v>
      </c>
      <c r="AB196" s="4"/>
      <c r="AC196" s="5">
        <v>12985</v>
      </c>
      <c r="AD196" s="5">
        <v>2000</v>
      </c>
      <c r="AE196" s="5">
        <f>Query1[[#This Row],[Tuition Fee]]-Query1[[#This Row],[Scholarship Amount]]</f>
        <v>10985</v>
      </c>
      <c r="AF196" t="s">
        <v>60</v>
      </c>
    </row>
    <row r="197" spans="1:32" x14ac:dyDescent="0.35">
      <c r="A197" t="s">
        <v>492</v>
      </c>
      <c r="B197" t="s">
        <v>945</v>
      </c>
      <c r="C197" t="s">
        <v>1284</v>
      </c>
      <c r="D197" t="str">
        <f>LEFT(Query1[[#This Row],[First Name]],1) &amp; "." &amp; Query1[[#This Row],[Last Name]] &amp; "@university.edu"</f>
        <v>C.McGeaney@university.edu</v>
      </c>
      <c r="E197" t="s">
        <v>43</v>
      </c>
      <c r="F197" s="1">
        <v>37756</v>
      </c>
      <c r="G197" s="2">
        <f ca="1">DATEDIF(Query1[[#This Row],[Date of Birth]],TODAY(),"Y")</f>
        <v>22</v>
      </c>
      <c r="H197" t="s">
        <v>97</v>
      </c>
      <c r="I197">
        <v>2020</v>
      </c>
      <c r="J197" t="s">
        <v>34</v>
      </c>
      <c r="K197" t="s">
        <v>35</v>
      </c>
      <c r="N197" t="s">
        <v>493</v>
      </c>
      <c r="O197" t="s">
        <v>37</v>
      </c>
      <c r="P197">
        <v>3</v>
      </c>
      <c r="Q197" t="s">
        <v>89</v>
      </c>
      <c r="R197" t="s">
        <v>90</v>
      </c>
      <c r="S197" t="s">
        <v>29</v>
      </c>
      <c r="T197" t="s">
        <v>41</v>
      </c>
      <c r="U197">
        <v>64</v>
      </c>
      <c r="V197">
        <v>34</v>
      </c>
      <c r="W197">
        <v>63</v>
      </c>
      <c r="X197" s="2">
        <f>AVERAGE(Query1[[#This Row],[Assignment 1 Score]],Query1[[#This Row],[Assignment 2 Score]],Query1[[#This Row],[Midterm Exam Score]])</f>
        <v>53.666666666666664</v>
      </c>
      <c r="Y197" t="str" cm="1">
        <f t="array" ref="Y19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197" s="3">
        <f>Query1[[#This Row],[Final Score]]*5/100</f>
        <v>2.6833333333333331</v>
      </c>
      <c r="AA197" s="4">
        <v>0.8577499999999999</v>
      </c>
      <c r="AB197" s="4"/>
      <c r="AC197" s="5">
        <v>12008</v>
      </c>
      <c r="AD197" s="5">
        <v>0</v>
      </c>
      <c r="AE197" s="5">
        <f>Query1[[#This Row],[Tuition Fee]]-Query1[[#This Row],[Scholarship Amount]]</f>
        <v>12008</v>
      </c>
      <c r="AF197" t="s">
        <v>31</v>
      </c>
    </row>
    <row r="198" spans="1:32" x14ac:dyDescent="0.35">
      <c r="A198" t="s">
        <v>494</v>
      </c>
      <c r="B198" t="s">
        <v>812</v>
      </c>
      <c r="C198" t="s">
        <v>1285</v>
      </c>
      <c r="D198" t="str">
        <f>LEFT(Query1[[#This Row],[First Name]],1) &amp; "." &amp; Query1[[#This Row],[Last Name]] &amp; "@university.edu"</f>
        <v>S.Friel@university.edu</v>
      </c>
      <c r="E198" t="s">
        <v>32</v>
      </c>
      <c r="F198" s="1">
        <v>37766</v>
      </c>
      <c r="G198" s="2">
        <f ca="1">DATEDIF(Query1[[#This Row],[Date of Birth]],TODAY(),"Y")</f>
        <v>22</v>
      </c>
      <c r="H198" t="s">
        <v>102</v>
      </c>
      <c r="I198">
        <v>2021</v>
      </c>
      <c r="J198" t="s">
        <v>45</v>
      </c>
      <c r="K198" t="s">
        <v>131</v>
      </c>
      <c r="N198" t="s">
        <v>495</v>
      </c>
      <c r="O198" t="s">
        <v>133</v>
      </c>
      <c r="P198">
        <v>3</v>
      </c>
      <c r="Q198" t="s">
        <v>38</v>
      </c>
      <c r="R198" t="s">
        <v>39</v>
      </c>
      <c r="S198" t="s">
        <v>40</v>
      </c>
      <c r="T198" t="s">
        <v>51</v>
      </c>
      <c r="U198">
        <v>88</v>
      </c>
      <c r="V198">
        <v>56</v>
      </c>
      <c r="W198">
        <v>77</v>
      </c>
      <c r="X198" s="2">
        <f>AVERAGE(Query1[[#This Row],[Assignment 1 Score]],Query1[[#This Row],[Assignment 2 Score]],Query1[[#This Row],[Midterm Exam Score]])</f>
        <v>73.666666666666671</v>
      </c>
      <c r="Y198" t="str" cm="1">
        <f t="array" ref="Y19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198" s="3">
        <f>Query1[[#This Row],[Final Score]]*5/100</f>
        <v>3.6833333333333336</v>
      </c>
      <c r="AA198" s="4">
        <v>0.90074999999999994</v>
      </c>
      <c r="AB198" s="4"/>
      <c r="AC198" s="5">
        <v>13031</v>
      </c>
      <c r="AD198" s="5">
        <v>1000</v>
      </c>
      <c r="AE198" s="5">
        <f>Query1[[#This Row],[Tuition Fee]]-Query1[[#This Row],[Scholarship Amount]]</f>
        <v>12031</v>
      </c>
      <c r="AF198" t="s">
        <v>31</v>
      </c>
    </row>
    <row r="199" spans="1:32" x14ac:dyDescent="0.35">
      <c r="A199" t="s">
        <v>496</v>
      </c>
      <c r="B199" t="s">
        <v>946</v>
      </c>
      <c r="C199" t="s">
        <v>1286</v>
      </c>
      <c r="D199" t="str">
        <f>LEFT(Query1[[#This Row],[First Name]],1) &amp; "." &amp; Query1[[#This Row],[Last Name]] &amp; "@university.edu"</f>
        <v>B.Witherbed@university.edu</v>
      </c>
      <c r="E199" t="s">
        <v>43</v>
      </c>
      <c r="F199" s="1">
        <v>37776</v>
      </c>
      <c r="G199" s="2">
        <f ca="1">DATEDIF(Query1[[#This Row],[Date of Birth]],TODAY(),"Y")</f>
        <v>22</v>
      </c>
      <c r="H199" t="s">
        <v>105</v>
      </c>
      <c r="I199">
        <v>2022</v>
      </c>
      <c r="J199" t="s">
        <v>54</v>
      </c>
      <c r="K199" t="s">
        <v>135</v>
      </c>
      <c r="N199" t="s">
        <v>497</v>
      </c>
      <c r="O199" t="s">
        <v>137</v>
      </c>
      <c r="P199">
        <v>3</v>
      </c>
      <c r="Q199" t="s">
        <v>49</v>
      </c>
      <c r="R199" t="s">
        <v>50</v>
      </c>
      <c r="S199" t="s">
        <v>29</v>
      </c>
      <c r="T199" t="s">
        <v>30</v>
      </c>
      <c r="U199">
        <v>67</v>
      </c>
      <c r="V199">
        <v>32</v>
      </c>
      <c r="W199">
        <v>72</v>
      </c>
      <c r="X199" s="2">
        <f>AVERAGE(Query1[[#This Row],[Assignment 1 Score]],Query1[[#This Row],[Assignment 2 Score]],Query1[[#This Row],[Midterm Exam Score]])</f>
        <v>57</v>
      </c>
      <c r="Y199" t="str" cm="1">
        <f t="array" ref="Y19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199" s="3">
        <f>Query1[[#This Row],[Final Score]]*5/100</f>
        <v>2.85</v>
      </c>
      <c r="AA199" s="4">
        <v>0.86149999999999993</v>
      </c>
      <c r="AB199" s="4"/>
      <c r="AC199" s="5">
        <v>11054</v>
      </c>
      <c r="AD199" s="5">
        <v>2000</v>
      </c>
      <c r="AE199" s="5">
        <f>Query1[[#This Row],[Tuition Fee]]-Query1[[#This Row],[Scholarship Amount]]</f>
        <v>9054</v>
      </c>
      <c r="AF199" t="s">
        <v>60</v>
      </c>
    </row>
    <row r="200" spans="1:32" x14ac:dyDescent="0.35">
      <c r="A200" t="s">
        <v>498</v>
      </c>
      <c r="B200" t="s">
        <v>947</v>
      </c>
      <c r="C200" t="s">
        <v>1287</v>
      </c>
      <c r="D200" t="str">
        <f>LEFT(Query1[[#This Row],[First Name]],1) &amp; "." &amp; Query1[[#This Row],[Last Name]] &amp; "@university.edu"</f>
        <v>B.Oag@university.edu</v>
      </c>
      <c r="E200" t="s">
        <v>32</v>
      </c>
      <c r="F200" s="1">
        <v>37786</v>
      </c>
      <c r="G200" s="2">
        <f ca="1">DATEDIF(Query1[[#This Row],[Date of Birth]],TODAY(),"Y")</f>
        <v>22</v>
      </c>
      <c r="H200" t="s">
        <v>108</v>
      </c>
      <c r="I200">
        <v>2023</v>
      </c>
      <c r="J200" t="s">
        <v>63</v>
      </c>
      <c r="K200" t="s">
        <v>64</v>
      </c>
      <c r="N200" t="s">
        <v>499</v>
      </c>
      <c r="O200" t="s">
        <v>66</v>
      </c>
      <c r="P200">
        <v>5</v>
      </c>
      <c r="Q200" t="s">
        <v>58</v>
      </c>
      <c r="R200" t="s">
        <v>59</v>
      </c>
      <c r="S200" t="s">
        <v>40</v>
      </c>
      <c r="T200" t="s">
        <v>69</v>
      </c>
      <c r="U200">
        <v>81</v>
      </c>
      <c r="V200">
        <v>44</v>
      </c>
      <c r="W200">
        <v>86</v>
      </c>
      <c r="X200" s="2">
        <f>AVERAGE(Query1[[#This Row],[Assignment 1 Score]],Query1[[#This Row],[Assignment 2 Score]],Query1[[#This Row],[Midterm Exam Score]])</f>
        <v>70.333333333333329</v>
      </c>
      <c r="Y200" t="str" cm="1">
        <f t="array" ref="Y20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00" s="3">
        <f>Query1[[#This Row],[Final Score]]*5/100</f>
        <v>3.5166666666666662</v>
      </c>
      <c r="AA200" s="4">
        <v>0.90074999999999994</v>
      </c>
      <c r="AB200" s="4"/>
      <c r="AC200" s="5">
        <v>15077</v>
      </c>
      <c r="AD200" s="5">
        <v>1000</v>
      </c>
      <c r="AE200" s="5">
        <f>Query1[[#This Row],[Tuition Fee]]-Query1[[#This Row],[Scholarship Amount]]</f>
        <v>14077</v>
      </c>
      <c r="AF200" t="s">
        <v>31</v>
      </c>
    </row>
    <row r="201" spans="1:32" x14ac:dyDescent="0.35">
      <c r="A201" t="s">
        <v>500</v>
      </c>
      <c r="B201" t="s">
        <v>948</v>
      </c>
      <c r="C201" t="s">
        <v>1288</v>
      </c>
      <c r="D201" t="str">
        <f>LEFT(Query1[[#This Row],[First Name]],1) &amp; "." &amp; Query1[[#This Row],[Last Name]] &amp; "@university.edu"</f>
        <v>A.Mourgue@university.edu</v>
      </c>
      <c r="E201" t="s">
        <v>43</v>
      </c>
      <c r="F201" s="1">
        <v>37796</v>
      </c>
      <c r="G201" s="2">
        <f ca="1">DATEDIF(Query1[[#This Row],[Date of Birth]],TODAY(),"Y")</f>
        <v>22</v>
      </c>
      <c r="H201" t="s">
        <v>113</v>
      </c>
      <c r="I201">
        <v>2019</v>
      </c>
      <c r="J201" t="s">
        <v>72</v>
      </c>
      <c r="K201" t="s">
        <v>73</v>
      </c>
      <c r="N201" t="s">
        <v>501</v>
      </c>
      <c r="O201" t="s">
        <v>75</v>
      </c>
      <c r="P201">
        <v>4</v>
      </c>
      <c r="Q201" t="s">
        <v>67</v>
      </c>
      <c r="R201" t="s">
        <v>68</v>
      </c>
      <c r="S201" t="s">
        <v>29</v>
      </c>
      <c r="T201" t="s">
        <v>78</v>
      </c>
      <c r="U201">
        <v>60</v>
      </c>
      <c r="V201">
        <v>70</v>
      </c>
      <c r="W201">
        <v>65</v>
      </c>
      <c r="X201" s="2">
        <f>AVERAGE(Query1[[#This Row],[Assignment 1 Score]],Query1[[#This Row],[Assignment 2 Score]],Query1[[#This Row],[Midterm Exam Score]])</f>
        <v>65</v>
      </c>
      <c r="Y201" t="str" cm="1">
        <f t="array" ref="Y20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201" s="3">
        <f>Query1[[#This Row],[Final Score]]*5/100</f>
        <v>3.25</v>
      </c>
      <c r="AA201" s="4">
        <v>0.84949999999999992</v>
      </c>
      <c r="AB201" s="4"/>
      <c r="AC201" s="5">
        <v>12600</v>
      </c>
      <c r="AD201" s="5">
        <v>0</v>
      </c>
      <c r="AE201" s="5">
        <f>Query1[[#This Row],[Tuition Fee]]-Query1[[#This Row],[Scholarship Amount]]</f>
        <v>12600</v>
      </c>
      <c r="AF201" t="s">
        <v>31</v>
      </c>
    </row>
    <row r="202" spans="1:32" x14ac:dyDescent="0.35">
      <c r="A202" t="s">
        <v>502</v>
      </c>
      <c r="B202" t="s">
        <v>949</v>
      </c>
      <c r="C202" t="s">
        <v>1289</v>
      </c>
      <c r="D202" t="str">
        <f>LEFT(Query1[[#This Row],[First Name]],1) &amp; "." &amp; Query1[[#This Row],[Last Name]] &amp; "@university.edu"</f>
        <v>R.Slatter@university.edu</v>
      </c>
      <c r="E202" t="s">
        <v>32</v>
      </c>
      <c r="F202" s="1">
        <v>37806</v>
      </c>
      <c r="G202" s="2">
        <f ca="1">DATEDIF(Query1[[#This Row],[Date of Birth]],TODAY(),"Y")</f>
        <v>22</v>
      </c>
      <c r="H202" t="s">
        <v>119</v>
      </c>
      <c r="I202">
        <v>2020</v>
      </c>
      <c r="J202" t="s">
        <v>34</v>
      </c>
      <c r="K202" t="s">
        <v>35</v>
      </c>
      <c r="N202" t="s">
        <v>503</v>
      </c>
      <c r="O202" t="s">
        <v>37</v>
      </c>
      <c r="P202">
        <v>3</v>
      </c>
      <c r="Q202" t="s">
        <v>76</v>
      </c>
      <c r="R202" t="s">
        <v>77</v>
      </c>
      <c r="S202" t="s">
        <v>40</v>
      </c>
      <c r="T202" t="s">
        <v>41</v>
      </c>
      <c r="U202">
        <v>84</v>
      </c>
      <c r="V202">
        <v>50</v>
      </c>
      <c r="W202">
        <v>79</v>
      </c>
      <c r="X202" s="2">
        <f>AVERAGE(Query1[[#This Row],[Assignment 1 Score]],Query1[[#This Row],[Assignment 2 Score]],Query1[[#This Row],[Midterm Exam Score]])</f>
        <v>71</v>
      </c>
      <c r="Y202" t="str" cm="1">
        <f t="array" ref="Y20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202" s="3">
        <f>Query1[[#This Row],[Final Score]]*5/100</f>
        <v>3.55</v>
      </c>
      <c r="AA202" s="4">
        <v>0.91249999999999998</v>
      </c>
      <c r="AB202" s="4"/>
      <c r="AC202" s="5">
        <v>12123</v>
      </c>
      <c r="AD202" s="5">
        <v>2000</v>
      </c>
      <c r="AE202" s="5">
        <f>Query1[[#This Row],[Tuition Fee]]-Query1[[#This Row],[Scholarship Amount]]</f>
        <v>10123</v>
      </c>
      <c r="AF202" t="s">
        <v>60</v>
      </c>
    </row>
    <row r="203" spans="1:32" x14ac:dyDescent="0.35">
      <c r="A203" t="s">
        <v>504</v>
      </c>
      <c r="B203" t="s">
        <v>950</v>
      </c>
      <c r="C203" t="s">
        <v>1290</v>
      </c>
      <c r="D203" t="str">
        <f>LEFT(Query1[[#This Row],[First Name]],1) &amp; "." &amp; Query1[[#This Row],[Last Name]] &amp; "@university.edu"</f>
        <v>O.Brazel@university.edu</v>
      </c>
      <c r="E203" t="s">
        <v>43</v>
      </c>
      <c r="F203" s="1">
        <v>37816</v>
      </c>
      <c r="G203" s="2">
        <f ca="1">DATEDIF(Query1[[#This Row],[Date of Birth]],TODAY(),"Y")</f>
        <v>22</v>
      </c>
      <c r="H203" t="s">
        <v>124</v>
      </c>
      <c r="I203">
        <v>2021</v>
      </c>
      <c r="J203" t="s">
        <v>45</v>
      </c>
      <c r="K203" t="s">
        <v>46</v>
      </c>
      <c r="N203" t="s">
        <v>505</v>
      </c>
      <c r="O203" t="s">
        <v>48</v>
      </c>
      <c r="P203">
        <v>3</v>
      </c>
      <c r="Q203" t="s">
        <v>82</v>
      </c>
      <c r="R203" t="s">
        <v>83</v>
      </c>
      <c r="S203" t="s">
        <v>29</v>
      </c>
      <c r="T203" t="s">
        <v>51</v>
      </c>
      <c r="U203">
        <v>63</v>
      </c>
      <c r="V203">
        <v>60</v>
      </c>
      <c r="W203">
        <v>58</v>
      </c>
      <c r="X203" s="2">
        <f>AVERAGE(Query1[[#This Row],[Assignment 1 Score]],Query1[[#This Row],[Assignment 2 Score]],Query1[[#This Row],[Midterm Exam Score]])</f>
        <v>60.333333333333336</v>
      </c>
      <c r="Y203" t="str" cm="1">
        <f t="array" ref="Y20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03" s="3">
        <f>Query1[[#This Row],[Final Score]]*5/100</f>
        <v>3.0166666666666671</v>
      </c>
      <c r="AA203" s="4">
        <v>0.86424999999999996</v>
      </c>
      <c r="AB203" s="4"/>
      <c r="AC203" s="5">
        <v>13146</v>
      </c>
      <c r="AD203" s="5">
        <v>1000</v>
      </c>
      <c r="AE203" s="5">
        <f>Query1[[#This Row],[Tuition Fee]]-Query1[[#This Row],[Scholarship Amount]]</f>
        <v>12146</v>
      </c>
      <c r="AF203" t="s">
        <v>31</v>
      </c>
    </row>
    <row r="204" spans="1:32" x14ac:dyDescent="0.35">
      <c r="A204" t="s">
        <v>506</v>
      </c>
      <c r="B204" t="s">
        <v>951</v>
      </c>
      <c r="C204" t="s">
        <v>1291</v>
      </c>
      <c r="D204" t="str">
        <f>LEFT(Query1[[#This Row],[First Name]],1) &amp; "." &amp; Query1[[#This Row],[Last Name]] &amp; "@university.edu"</f>
        <v>B.Belvard@university.edu</v>
      </c>
      <c r="E204" t="s">
        <v>32</v>
      </c>
      <c r="F204" s="1">
        <v>37826</v>
      </c>
      <c r="G204" s="2">
        <f ca="1">DATEDIF(Query1[[#This Row],[Date of Birth]],TODAY(),"Y")</f>
        <v>22</v>
      </c>
      <c r="H204" t="s">
        <v>127</v>
      </c>
      <c r="I204">
        <v>2022</v>
      </c>
      <c r="J204" t="s">
        <v>54</v>
      </c>
      <c r="K204" t="s">
        <v>55</v>
      </c>
      <c r="N204" t="s">
        <v>507</v>
      </c>
      <c r="O204" t="s">
        <v>57</v>
      </c>
      <c r="P204">
        <v>3</v>
      </c>
      <c r="Q204" t="s">
        <v>89</v>
      </c>
      <c r="R204" t="s">
        <v>90</v>
      </c>
      <c r="S204" t="s">
        <v>40</v>
      </c>
      <c r="T204" t="s">
        <v>30</v>
      </c>
      <c r="U204">
        <v>77</v>
      </c>
      <c r="V204">
        <v>41</v>
      </c>
      <c r="W204">
        <v>88</v>
      </c>
      <c r="X204" s="2">
        <f>AVERAGE(Query1[[#This Row],[Assignment 1 Score]],Query1[[#This Row],[Assignment 2 Score]],Query1[[#This Row],[Midterm Exam Score]])</f>
        <v>68.666666666666671</v>
      </c>
      <c r="Y204" t="str" cm="1">
        <f t="array" ref="Y20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04" s="3">
        <f>Query1[[#This Row],[Final Score]]*5/100</f>
        <v>3.4333333333333336</v>
      </c>
      <c r="AA204" s="4">
        <v>0.91249999999999998</v>
      </c>
      <c r="AB204" s="4"/>
      <c r="AC204" s="5">
        <v>11169</v>
      </c>
      <c r="AD204" s="5">
        <v>5000</v>
      </c>
      <c r="AE204" s="5">
        <f>Query1[[#This Row],[Tuition Fee]]-Query1[[#This Row],[Scholarship Amount]]</f>
        <v>6169</v>
      </c>
      <c r="AF204" t="s">
        <v>31</v>
      </c>
    </row>
    <row r="205" spans="1:32" x14ac:dyDescent="0.35">
      <c r="A205" t="s">
        <v>508</v>
      </c>
      <c r="B205" t="s">
        <v>952</v>
      </c>
      <c r="C205" t="s">
        <v>1292</v>
      </c>
      <c r="D205" t="str">
        <f>LEFT(Query1[[#This Row],[First Name]],1) &amp; "." &amp; Query1[[#This Row],[Last Name]] &amp; "@university.edu"</f>
        <v>Y.Nowakowska@university.edu</v>
      </c>
      <c r="E205" t="s">
        <v>43</v>
      </c>
      <c r="F205" s="1">
        <v>37836</v>
      </c>
      <c r="G205" s="2">
        <f ca="1">DATEDIF(Query1[[#This Row],[Date of Birth]],TODAY(),"Y")</f>
        <v>22</v>
      </c>
      <c r="H205" t="s">
        <v>130</v>
      </c>
      <c r="I205">
        <v>2023</v>
      </c>
      <c r="J205" t="s">
        <v>63</v>
      </c>
      <c r="K205" t="s">
        <v>98</v>
      </c>
      <c r="N205" t="s">
        <v>509</v>
      </c>
      <c r="O205" t="s">
        <v>100</v>
      </c>
      <c r="P205">
        <v>5</v>
      </c>
      <c r="Q205" t="s">
        <v>38</v>
      </c>
      <c r="R205" t="s">
        <v>39</v>
      </c>
      <c r="S205" t="s">
        <v>29</v>
      </c>
      <c r="T205" t="s">
        <v>69</v>
      </c>
      <c r="U205">
        <v>66</v>
      </c>
      <c r="V205">
        <v>38</v>
      </c>
      <c r="W205">
        <v>67</v>
      </c>
      <c r="X205" s="2">
        <f>AVERAGE(Query1[[#This Row],[Assignment 1 Score]],Query1[[#This Row],[Assignment 2 Score]],Query1[[#This Row],[Midterm Exam Score]])</f>
        <v>57</v>
      </c>
      <c r="Y205" t="str" cm="1">
        <f t="array" ref="Y20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05" s="3">
        <f>Query1[[#This Row],[Final Score]]*5/100</f>
        <v>2.85</v>
      </c>
      <c r="AA205" s="4">
        <v>0.86799999999999988</v>
      </c>
      <c r="AB205" s="4"/>
      <c r="AC205" s="5">
        <v>15192</v>
      </c>
      <c r="AD205" s="5">
        <v>0</v>
      </c>
      <c r="AE205" s="5">
        <f>Query1[[#This Row],[Tuition Fee]]-Query1[[#This Row],[Scholarship Amount]]</f>
        <v>15192</v>
      </c>
      <c r="AF205" t="s">
        <v>60</v>
      </c>
    </row>
    <row r="206" spans="1:32" x14ac:dyDescent="0.35">
      <c r="A206" t="s">
        <v>510</v>
      </c>
      <c r="B206" t="s">
        <v>953</v>
      </c>
      <c r="C206" t="s">
        <v>1293</v>
      </c>
      <c r="D206" t="str">
        <f>LEFT(Query1[[#This Row],[First Name]],1) &amp; "." &amp; Query1[[#This Row],[Last Name]] &amp; "@university.edu"</f>
        <v>C.Bamell@university.edu</v>
      </c>
      <c r="E206" t="s">
        <v>32</v>
      </c>
      <c r="F206" s="1">
        <v>37846</v>
      </c>
      <c r="G206" s="2">
        <f ca="1">DATEDIF(Query1[[#This Row],[Date of Birth]],TODAY(),"Y")</f>
        <v>22</v>
      </c>
      <c r="H206" t="s">
        <v>33</v>
      </c>
      <c r="I206">
        <v>2019</v>
      </c>
      <c r="J206" t="s">
        <v>72</v>
      </c>
      <c r="K206" t="s">
        <v>73</v>
      </c>
      <c r="N206" t="s">
        <v>511</v>
      </c>
      <c r="O206" t="s">
        <v>75</v>
      </c>
      <c r="P206">
        <v>4</v>
      </c>
      <c r="Q206" t="s">
        <v>49</v>
      </c>
      <c r="R206" t="s">
        <v>50</v>
      </c>
      <c r="S206" t="s">
        <v>40</v>
      </c>
      <c r="T206" t="s">
        <v>78</v>
      </c>
      <c r="U206">
        <v>80</v>
      </c>
      <c r="V206">
        <v>59</v>
      </c>
      <c r="W206">
        <v>81</v>
      </c>
      <c r="X206" s="2">
        <f>AVERAGE(Query1[[#This Row],[Assignment 1 Score]],Query1[[#This Row],[Assignment 2 Score]],Query1[[#This Row],[Midterm Exam Score]])</f>
        <v>73.333333333333329</v>
      </c>
      <c r="Y206" t="str" cm="1">
        <f t="array" ref="Y20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206" s="3">
        <f>Query1[[#This Row],[Final Score]]*5/100</f>
        <v>3.6666666666666661</v>
      </c>
      <c r="AA206" s="4">
        <v>0.90725</v>
      </c>
      <c r="AB206" s="4"/>
      <c r="AC206" s="5">
        <v>12715</v>
      </c>
      <c r="AD206" s="5">
        <v>1000</v>
      </c>
      <c r="AE206" s="5">
        <f>Query1[[#This Row],[Tuition Fee]]-Query1[[#This Row],[Scholarship Amount]]</f>
        <v>11715</v>
      </c>
      <c r="AF206" t="s">
        <v>31</v>
      </c>
    </row>
    <row r="207" spans="1:32" x14ac:dyDescent="0.35">
      <c r="A207" t="s">
        <v>512</v>
      </c>
      <c r="B207" t="s">
        <v>801</v>
      </c>
      <c r="C207" t="s">
        <v>1294</v>
      </c>
      <c r="D207" t="str">
        <f>LEFT(Query1[[#This Row],[First Name]],1) &amp; "." &amp; Query1[[#This Row],[Last Name]] &amp; "@university.edu"</f>
        <v>J.Haresign@university.edu</v>
      </c>
      <c r="E207" t="s">
        <v>43</v>
      </c>
      <c r="F207" s="1">
        <v>37856</v>
      </c>
      <c r="G207" s="2">
        <f ca="1">DATEDIF(Query1[[#This Row],[Date of Birth]],TODAY(),"Y")</f>
        <v>22</v>
      </c>
      <c r="H207" t="s">
        <v>44</v>
      </c>
      <c r="I207">
        <v>2020</v>
      </c>
      <c r="J207" t="s">
        <v>34</v>
      </c>
      <c r="K207" t="s">
        <v>35</v>
      </c>
      <c r="N207" t="s">
        <v>513</v>
      </c>
      <c r="O207" t="s">
        <v>37</v>
      </c>
      <c r="P207">
        <v>3</v>
      </c>
      <c r="Q207" t="s">
        <v>58</v>
      </c>
      <c r="R207" t="s">
        <v>59</v>
      </c>
      <c r="S207" t="s">
        <v>29</v>
      </c>
      <c r="T207" t="s">
        <v>41</v>
      </c>
      <c r="U207">
        <v>59</v>
      </c>
      <c r="V207">
        <v>59</v>
      </c>
      <c r="W207">
        <v>60</v>
      </c>
      <c r="X207" s="2">
        <f>AVERAGE(Query1[[#This Row],[Assignment 1 Score]],Query1[[#This Row],[Assignment 2 Score]],Query1[[#This Row],[Midterm Exam Score]])</f>
        <v>59.333333333333336</v>
      </c>
      <c r="Y207" t="str" cm="1">
        <f t="array" ref="Y20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07" s="3">
        <f>Query1[[#This Row],[Final Score]]*5/100</f>
        <v>2.9666666666666668</v>
      </c>
      <c r="AA207" s="4">
        <v>0.85599999999999998</v>
      </c>
      <c r="AB207" s="4"/>
      <c r="AC207" s="5">
        <v>12238</v>
      </c>
      <c r="AD207" s="5">
        <v>1000</v>
      </c>
      <c r="AE207" s="5">
        <f>Query1[[#This Row],[Tuition Fee]]-Query1[[#This Row],[Scholarship Amount]]</f>
        <v>11238</v>
      </c>
      <c r="AF207" t="s">
        <v>31</v>
      </c>
    </row>
    <row r="208" spans="1:32" x14ac:dyDescent="0.35">
      <c r="A208" t="s">
        <v>514</v>
      </c>
      <c r="B208" t="s">
        <v>954</v>
      </c>
      <c r="C208" t="s">
        <v>1295</v>
      </c>
      <c r="D208" t="str">
        <f>LEFT(Query1[[#This Row],[First Name]],1) &amp; "." &amp; Query1[[#This Row],[Last Name]] &amp; "@university.edu"</f>
        <v>G.Midlane@university.edu</v>
      </c>
      <c r="E208" t="s">
        <v>32</v>
      </c>
      <c r="F208" s="1">
        <v>37866</v>
      </c>
      <c r="G208" s="2">
        <f ca="1">DATEDIF(Query1[[#This Row],[Date of Birth]],TODAY(),"Y")</f>
        <v>22</v>
      </c>
      <c r="H208" t="s">
        <v>53</v>
      </c>
      <c r="I208">
        <v>2021</v>
      </c>
      <c r="J208" t="s">
        <v>45</v>
      </c>
      <c r="K208" t="s">
        <v>86</v>
      </c>
      <c r="N208" t="s">
        <v>515</v>
      </c>
      <c r="O208" t="s">
        <v>88</v>
      </c>
      <c r="P208">
        <v>3</v>
      </c>
      <c r="Q208" t="s">
        <v>67</v>
      </c>
      <c r="R208" t="s">
        <v>68</v>
      </c>
      <c r="S208" t="s">
        <v>40</v>
      </c>
      <c r="T208" t="s">
        <v>51</v>
      </c>
      <c r="U208">
        <v>50</v>
      </c>
      <c r="V208">
        <v>40</v>
      </c>
      <c r="W208">
        <v>74</v>
      </c>
      <c r="X208" s="2">
        <f>AVERAGE(Query1[[#This Row],[Assignment 1 Score]],Query1[[#This Row],[Assignment 2 Score]],Query1[[#This Row],[Midterm Exam Score]])</f>
        <v>54.666666666666664</v>
      </c>
      <c r="Y208" t="str" cm="1">
        <f t="array" ref="Y20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208" s="3">
        <f>Query1[[#This Row],[Final Score]]*5/100</f>
        <v>2.7333333333333329</v>
      </c>
      <c r="AA208" s="4">
        <v>0.89899999999999991</v>
      </c>
      <c r="AB208" s="4"/>
      <c r="AC208" s="5">
        <v>13261</v>
      </c>
      <c r="AD208" s="5">
        <v>2000</v>
      </c>
      <c r="AE208" s="5">
        <f>Query1[[#This Row],[Tuition Fee]]-Query1[[#This Row],[Scholarship Amount]]</f>
        <v>11261</v>
      </c>
      <c r="AF208" t="s">
        <v>60</v>
      </c>
    </row>
    <row r="209" spans="1:32" x14ac:dyDescent="0.35">
      <c r="A209" t="s">
        <v>516</v>
      </c>
      <c r="B209" t="s">
        <v>955</v>
      </c>
      <c r="C209" t="s">
        <v>1296</v>
      </c>
      <c r="D209" t="str">
        <f>LEFT(Query1[[#This Row],[First Name]],1) &amp; "." &amp; Query1[[#This Row],[Last Name]] &amp; "@university.edu"</f>
        <v>C.Rabbitts@university.edu</v>
      </c>
      <c r="E209" t="s">
        <v>43</v>
      </c>
      <c r="F209" s="1">
        <v>37876</v>
      </c>
      <c r="G209" s="2">
        <f ca="1">DATEDIF(Query1[[#This Row],[Date of Birth]],TODAY(),"Y")</f>
        <v>22</v>
      </c>
      <c r="H209" t="s">
        <v>62</v>
      </c>
      <c r="I209">
        <v>2022</v>
      </c>
      <c r="J209" t="s">
        <v>54</v>
      </c>
      <c r="K209" t="s">
        <v>93</v>
      </c>
      <c r="N209" t="s">
        <v>517</v>
      </c>
      <c r="O209" t="s">
        <v>95</v>
      </c>
      <c r="P209">
        <v>3</v>
      </c>
      <c r="Q209" t="s">
        <v>76</v>
      </c>
      <c r="R209" t="s">
        <v>77</v>
      </c>
      <c r="S209" t="s">
        <v>29</v>
      </c>
      <c r="T209" t="s">
        <v>30</v>
      </c>
      <c r="U209">
        <v>60</v>
      </c>
      <c r="V209">
        <v>34</v>
      </c>
      <c r="W209">
        <v>53</v>
      </c>
      <c r="X209" s="2">
        <f>AVERAGE(Query1[[#This Row],[Assignment 1 Score]],Query1[[#This Row],[Assignment 2 Score]],Query1[[#This Row],[Midterm Exam Score]])</f>
        <v>49</v>
      </c>
      <c r="Y209" t="str" cm="1">
        <f t="array" ref="Y20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D</v>
      </c>
      <c r="Z209" s="3">
        <f>Query1[[#This Row],[Final Score]]*5/100</f>
        <v>2.4500000000000002</v>
      </c>
      <c r="AA209" s="4">
        <v>0.84775</v>
      </c>
      <c r="AB209" s="4"/>
      <c r="AC209" s="5">
        <v>11284</v>
      </c>
      <c r="AD209" s="5">
        <v>0</v>
      </c>
      <c r="AE209" s="5">
        <f>Query1[[#This Row],[Tuition Fee]]-Query1[[#This Row],[Scholarship Amount]]</f>
        <v>11284</v>
      </c>
      <c r="AF209" t="s">
        <v>31</v>
      </c>
    </row>
    <row r="210" spans="1:32" x14ac:dyDescent="0.35">
      <c r="A210" t="s">
        <v>518</v>
      </c>
      <c r="B210" t="s">
        <v>956</v>
      </c>
      <c r="C210" t="s">
        <v>1297</v>
      </c>
      <c r="D210" t="str">
        <f>LEFT(Query1[[#This Row],[First Name]],1) &amp; "." &amp; Query1[[#This Row],[Last Name]] &amp; "@university.edu"</f>
        <v>L.Akehurst@university.edu</v>
      </c>
      <c r="E210" t="s">
        <v>32</v>
      </c>
      <c r="F210" s="1">
        <v>37886</v>
      </c>
      <c r="G210" s="2">
        <f ca="1">DATEDIF(Query1[[#This Row],[Date of Birth]],TODAY(),"Y")</f>
        <v>22</v>
      </c>
      <c r="H210" t="s">
        <v>71</v>
      </c>
      <c r="I210">
        <v>2023</v>
      </c>
      <c r="J210" t="s">
        <v>63</v>
      </c>
      <c r="K210" t="s">
        <v>120</v>
      </c>
      <c r="N210" t="s">
        <v>519</v>
      </c>
      <c r="O210" t="s">
        <v>122</v>
      </c>
      <c r="P210">
        <v>5</v>
      </c>
      <c r="Q210" t="s">
        <v>82</v>
      </c>
      <c r="R210" t="s">
        <v>83</v>
      </c>
      <c r="S210" t="s">
        <v>40</v>
      </c>
      <c r="T210" t="s">
        <v>69</v>
      </c>
      <c r="U210">
        <v>41</v>
      </c>
      <c r="V210">
        <v>56</v>
      </c>
      <c r="W210">
        <v>83</v>
      </c>
      <c r="X210" s="2">
        <f>AVERAGE(Query1[[#This Row],[Assignment 1 Score]],Query1[[#This Row],[Assignment 2 Score]],Query1[[#This Row],[Midterm Exam Score]])</f>
        <v>60</v>
      </c>
      <c r="Y210" t="str" cm="1">
        <f t="array" ref="Y21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10" s="3">
        <f>Query1[[#This Row],[Final Score]]*5/100</f>
        <v>3</v>
      </c>
      <c r="AA210" s="4">
        <v>0.89899999999999991</v>
      </c>
      <c r="AB210" s="4"/>
      <c r="AC210" s="5">
        <v>15307</v>
      </c>
      <c r="AD210" s="5">
        <v>1000</v>
      </c>
      <c r="AE210" s="5">
        <f>Query1[[#This Row],[Tuition Fee]]-Query1[[#This Row],[Scholarship Amount]]</f>
        <v>14307</v>
      </c>
      <c r="AF210" t="s">
        <v>31</v>
      </c>
    </row>
    <row r="211" spans="1:32" x14ac:dyDescent="0.35">
      <c r="A211" t="s">
        <v>520</v>
      </c>
      <c r="B211" t="s">
        <v>957</v>
      </c>
      <c r="C211" t="s">
        <v>1298</v>
      </c>
      <c r="D211" t="str">
        <f>LEFT(Query1[[#This Row],[First Name]],1) &amp; "." &amp; Query1[[#This Row],[Last Name]] &amp; "@university.edu"</f>
        <v>B.Gregg@university.edu</v>
      </c>
      <c r="E211" t="s">
        <v>43</v>
      </c>
      <c r="F211" s="1">
        <v>37896</v>
      </c>
      <c r="G211" s="2">
        <f ca="1">DATEDIF(Query1[[#This Row],[Date of Birth]],TODAY(),"Y")</f>
        <v>22</v>
      </c>
      <c r="H211" t="s">
        <v>80</v>
      </c>
      <c r="I211">
        <v>2019</v>
      </c>
      <c r="J211" t="s">
        <v>72</v>
      </c>
      <c r="K211" t="s">
        <v>73</v>
      </c>
      <c r="N211" t="s">
        <v>521</v>
      </c>
      <c r="O211" t="s">
        <v>75</v>
      </c>
      <c r="P211">
        <v>4</v>
      </c>
      <c r="Q211" t="s">
        <v>89</v>
      </c>
      <c r="R211" t="s">
        <v>90</v>
      </c>
      <c r="S211" t="s">
        <v>29</v>
      </c>
      <c r="T211" t="s">
        <v>78</v>
      </c>
      <c r="U211">
        <v>38</v>
      </c>
      <c r="V211">
        <v>32</v>
      </c>
      <c r="W211">
        <v>62</v>
      </c>
      <c r="X211" s="2">
        <f>AVERAGE(Query1[[#This Row],[Assignment 1 Score]],Query1[[#This Row],[Assignment 2 Score]],Query1[[#This Row],[Midterm Exam Score]])</f>
        <v>44</v>
      </c>
      <c r="Y211" t="str" cm="1">
        <f t="array" ref="Y21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E</v>
      </c>
      <c r="Z211" s="3">
        <f>Query1[[#This Row],[Final Score]]*5/100</f>
        <v>2.2000000000000002</v>
      </c>
      <c r="AA211" s="4">
        <v>0.8507499999999999</v>
      </c>
      <c r="AB211" s="4"/>
      <c r="AC211" s="5">
        <v>12830</v>
      </c>
      <c r="AD211" s="5">
        <v>5000</v>
      </c>
      <c r="AE211" s="5">
        <f>Query1[[#This Row],[Tuition Fee]]-Query1[[#This Row],[Scholarship Amount]]</f>
        <v>7830</v>
      </c>
      <c r="AF211" t="s">
        <v>60</v>
      </c>
    </row>
    <row r="212" spans="1:32" x14ac:dyDescent="0.35">
      <c r="A212" t="s">
        <v>522</v>
      </c>
      <c r="B212" t="s">
        <v>958</v>
      </c>
      <c r="C212" t="s">
        <v>1299</v>
      </c>
      <c r="D212" t="str">
        <f>LEFT(Query1[[#This Row],[First Name]],1) &amp; "." &amp; Query1[[#This Row],[Last Name]] &amp; "@university.edu"</f>
        <v>G.Tockell@university.edu</v>
      </c>
      <c r="E212" t="s">
        <v>32</v>
      </c>
      <c r="F212" s="1">
        <v>37906</v>
      </c>
      <c r="G212" s="2">
        <f ca="1">DATEDIF(Query1[[#This Row],[Date of Birth]],TODAY(),"Y")</f>
        <v>22</v>
      </c>
      <c r="H212" t="s">
        <v>85</v>
      </c>
      <c r="I212">
        <v>2020</v>
      </c>
      <c r="J212" t="s">
        <v>34</v>
      </c>
      <c r="K212" t="s">
        <v>35</v>
      </c>
      <c r="N212" t="s">
        <v>523</v>
      </c>
      <c r="O212" t="s">
        <v>37</v>
      </c>
      <c r="P212">
        <v>3</v>
      </c>
      <c r="Q212" t="s">
        <v>38</v>
      </c>
      <c r="R212" t="s">
        <v>39</v>
      </c>
      <c r="S212" t="s">
        <v>40</v>
      </c>
      <c r="T212" t="s">
        <v>41</v>
      </c>
      <c r="U212">
        <v>59</v>
      </c>
      <c r="V212">
        <v>44</v>
      </c>
      <c r="W212">
        <v>76</v>
      </c>
      <c r="X212" s="2">
        <f>AVERAGE(Query1[[#This Row],[Assignment 1 Score]],Query1[[#This Row],[Assignment 2 Score]],Query1[[#This Row],[Midterm Exam Score]])</f>
        <v>59.666666666666664</v>
      </c>
      <c r="Y212" t="str" cm="1">
        <f t="array" ref="Y21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12" s="3">
        <f>Query1[[#This Row],[Final Score]]*5/100</f>
        <v>2.9833333333333329</v>
      </c>
      <c r="AA212" s="4">
        <v>0.89074999999999993</v>
      </c>
      <c r="AB212" s="4"/>
      <c r="AC212" s="5">
        <v>12353</v>
      </c>
      <c r="AD212" s="5">
        <v>1000</v>
      </c>
      <c r="AE212" s="5">
        <f>Query1[[#This Row],[Tuition Fee]]-Query1[[#This Row],[Scholarship Amount]]</f>
        <v>11353</v>
      </c>
      <c r="AF212" t="s">
        <v>31</v>
      </c>
    </row>
    <row r="213" spans="1:32" x14ac:dyDescent="0.35">
      <c r="A213" t="s">
        <v>524</v>
      </c>
      <c r="B213" t="s">
        <v>959</v>
      </c>
      <c r="C213" t="s">
        <v>1300</v>
      </c>
      <c r="D213" t="str">
        <f>LEFT(Query1[[#This Row],[First Name]],1) &amp; "." &amp; Query1[[#This Row],[Last Name]] &amp; "@university.edu"</f>
        <v>D.Sauvan@university.edu</v>
      </c>
      <c r="E213" t="s">
        <v>43</v>
      </c>
      <c r="F213" s="1">
        <v>37916</v>
      </c>
      <c r="G213" s="2">
        <f ca="1">DATEDIF(Query1[[#This Row],[Date of Birth]],TODAY(),"Y")</f>
        <v>22</v>
      </c>
      <c r="H213" t="s">
        <v>92</v>
      </c>
      <c r="I213">
        <v>2021</v>
      </c>
      <c r="J213" t="s">
        <v>45</v>
      </c>
      <c r="K213" t="s">
        <v>109</v>
      </c>
      <c r="N213" t="s">
        <v>525</v>
      </c>
      <c r="O213" t="s">
        <v>111</v>
      </c>
      <c r="P213">
        <v>3</v>
      </c>
      <c r="Q213" t="s">
        <v>49</v>
      </c>
      <c r="R213" t="s">
        <v>50</v>
      </c>
      <c r="S213" t="s">
        <v>29</v>
      </c>
      <c r="T213" t="s">
        <v>51</v>
      </c>
      <c r="U213">
        <v>40</v>
      </c>
      <c r="V213">
        <v>70</v>
      </c>
      <c r="W213">
        <v>90</v>
      </c>
      <c r="X213" s="2">
        <f>AVERAGE(Query1[[#This Row],[Assignment 1 Score]],Query1[[#This Row],[Assignment 2 Score]],Query1[[#This Row],[Midterm Exam Score]])</f>
        <v>66.666666666666671</v>
      </c>
      <c r="Y213" t="str" cm="1">
        <f t="array" ref="Y21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13" s="3">
        <f>Query1[[#This Row],[Final Score]]*5/100</f>
        <v>3.3333333333333339</v>
      </c>
      <c r="AA213" s="4">
        <v>0.92999999999999994</v>
      </c>
      <c r="AB213" s="4"/>
      <c r="AC213" s="5">
        <v>13376</v>
      </c>
      <c r="AD213" s="5">
        <v>0</v>
      </c>
      <c r="AE213" s="5">
        <f>Query1[[#This Row],[Tuition Fee]]-Query1[[#This Row],[Scholarship Amount]]</f>
        <v>13376</v>
      </c>
      <c r="AF213" t="s">
        <v>31</v>
      </c>
    </row>
    <row r="214" spans="1:32" x14ac:dyDescent="0.35">
      <c r="A214" t="s">
        <v>526</v>
      </c>
      <c r="B214" t="s">
        <v>960</v>
      </c>
      <c r="C214" t="s">
        <v>1301</v>
      </c>
      <c r="D214" t="str">
        <f>LEFT(Query1[[#This Row],[First Name]],1) &amp; "." &amp; Query1[[#This Row],[Last Name]] &amp; "@university.edu"</f>
        <v>L.Livingstone@university.edu</v>
      </c>
      <c r="E214" t="s">
        <v>32</v>
      </c>
      <c r="F214" s="1">
        <v>37926</v>
      </c>
      <c r="G214" s="2">
        <f ca="1">DATEDIF(Query1[[#This Row],[Date of Birth]],TODAY(),"Y")</f>
        <v>22</v>
      </c>
      <c r="H214" t="s">
        <v>97</v>
      </c>
      <c r="I214">
        <v>2022</v>
      </c>
      <c r="J214" t="s">
        <v>54</v>
      </c>
      <c r="K214" t="s">
        <v>114</v>
      </c>
      <c r="N214" t="s">
        <v>527</v>
      </c>
      <c r="O214" t="s">
        <v>116</v>
      </c>
      <c r="P214">
        <v>3</v>
      </c>
      <c r="Q214" t="s">
        <v>58</v>
      </c>
      <c r="R214" t="s">
        <v>59</v>
      </c>
      <c r="S214" t="s">
        <v>40</v>
      </c>
      <c r="T214" t="s">
        <v>30</v>
      </c>
      <c r="U214">
        <v>34</v>
      </c>
      <c r="V214">
        <v>80</v>
      </c>
      <c r="W214">
        <v>69</v>
      </c>
      <c r="X214" s="2">
        <f>AVERAGE(Query1[[#This Row],[Assignment 1 Score]],Query1[[#This Row],[Assignment 2 Score]],Query1[[#This Row],[Midterm Exam Score]])</f>
        <v>61</v>
      </c>
      <c r="Y214" t="str" cm="1">
        <f t="array" ref="Y21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214" s="3">
        <f>Query1[[#This Row],[Final Score]]*5/100</f>
        <v>3.05</v>
      </c>
      <c r="AA214" s="4">
        <v>0.88174999999999992</v>
      </c>
      <c r="AB214" s="4"/>
      <c r="AC214" s="5">
        <v>11399</v>
      </c>
      <c r="AD214" s="5">
        <v>2000</v>
      </c>
      <c r="AE214" s="5">
        <f>Query1[[#This Row],[Tuition Fee]]-Query1[[#This Row],[Scholarship Amount]]</f>
        <v>9399</v>
      </c>
      <c r="AF214" t="s">
        <v>60</v>
      </c>
    </row>
    <row r="215" spans="1:32" x14ac:dyDescent="0.35">
      <c r="A215" t="s">
        <v>528</v>
      </c>
      <c r="B215" t="s">
        <v>961</v>
      </c>
      <c r="C215" t="s">
        <v>1302</v>
      </c>
      <c r="D215" t="str">
        <f>LEFT(Query1[[#This Row],[First Name]],1) &amp; "." &amp; Query1[[#This Row],[Last Name]] &amp; "@university.edu"</f>
        <v>G.Crowest@university.edu</v>
      </c>
      <c r="E215" t="s">
        <v>43</v>
      </c>
      <c r="F215" s="1">
        <v>37936</v>
      </c>
      <c r="G215" s="2">
        <f ca="1">DATEDIF(Query1[[#This Row],[Date of Birth]],TODAY(),"Y")</f>
        <v>22</v>
      </c>
      <c r="H215" t="s">
        <v>102</v>
      </c>
      <c r="I215">
        <v>2023</v>
      </c>
      <c r="J215" t="s">
        <v>63</v>
      </c>
      <c r="K215" t="s">
        <v>64</v>
      </c>
      <c r="N215" t="s">
        <v>529</v>
      </c>
      <c r="O215" t="s">
        <v>66</v>
      </c>
      <c r="P215">
        <v>5</v>
      </c>
      <c r="Q215" t="s">
        <v>67</v>
      </c>
      <c r="R215" t="s">
        <v>68</v>
      </c>
      <c r="S215" t="s">
        <v>29</v>
      </c>
      <c r="T215" t="s">
        <v>69</v>
      </c>
      <c r="U215">
        <v>56</v>
      </c>
      <c r="V215">
        <v>34</v>
      </c>
      <c r="W215">
        <v>99</v>
      </c>
      <c r="X215" s="2">
        <f>AVERAGE(Query1[[#This Row],[Assignment 1 Score]],Query1[[#This Row],[Assignment 2 Score]],Query1[[#This Row],[Midterm Exam Score]])</f>
        <v>63</v>
      </c>
      <c r="Y215" t="str" cm="1">
        <f t="array" ref="Y21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215" s="3">
        <f>Query1[[#This Row],[Final Score]]*5/100</f>
        <v>3.15</v>
      </c>
      <c r="AA215" s="4">
        <v>0.93374999999999997</v>
      </c>
      <c r="AB215" s="4"/>
      <c r="AC215" s="5">
        <v>15422</v>
      </c>
      <c r="AD215" s="5">
        <v>1000</v>
      </c>
      <c r="AE215" s="5">
        <f>Query1[[#This Row],[Tuition Fee]]-Query1[[#This Row],[Scholarship Amount]]</f>
        <v>14422</v>
      </c>
      <c r="AF215" t="s">
        <v>31</v>
      </c>
    </row>
    <row r="216" spans="1:32" x14ac:dyDescent="0.35">
      <c r="A216" t="s">
        <v>530</v>
      </c>
      <c r="B216" t="s">
        <v>962</v>
      </c>
      <c r="C216" t="s">
        <v>1303</v>
      </c>
      <c r="D216" t="str">
        <f>LEFT(Query1[[#This Row],[First Name]],1) &amp; "." &amp; Query1[[#This Row],[Last Name]] &amp; "@university.edu"</f>
        <v>D.Jose@university.edu</v>
      </c>
      <c r="E216" t="s">
        <v>32</v>
      </c>
      <c r="F216" s="1">
        <v>37946</v>
      </c>
      <c r="G216" s="2">
        <f ca="1">DATEDIF(Query1[[#This Row],[Date of Birth]],TODAY(),"Y")</f>
        <v>22</v>
      </c>
      <c r="H216" t="s">
        <v>105</v>
      </c>
      <c r="I216">
        <v>2019</v>
      </c>
      <c r="J216" t="s">
        <v>72</v>
      </c>
      <c r="K216" t="s">
        <v>73</v>
      </c>
      <c r="N216" t="s">
        <v>531</v>
      </c>
      <c r="O216" t="s">
        <v>75</v>
      </c>
      <c r="P216">
        <v>4</v>
      </c>
      <c r="Q216" t="s">
        <v>76</v>
      </c>
      <c r="R216" t="s">
        <v>77</v>
      </c>
      <c r="S216" t="s">
        <v>40</v>
      </c>
      <c r="T216" t="s">
        <v>78</v>
      </c>
      <c r="U216">
        <v>32</v>
      </c>
      <c r="V216">
        <v>56</v>
      </c>
      <c r="W216">
        <v>78</v>
      </c>
      <c r="X216" s="2">
        <f>AVERAGE(Query1[[#This Row],[Assignment 1 Score]],Query1[[#This Row],[Assignment 2 Score]],Query1[[#This Row],[Midterm Exam Score]])</f>
        <v>55.333333333333336</v>
      </c>
      <c r="Y216" t="str" cm="1">
        <f t="array" ref="Y21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216" s="3">
        <f>Query1[[#This Row],[Final Score]]*5/100</f>
        <v>2.7666666666666671</v>
      </c>
      <c r="AA216" s="4">
        <v>0.88549999999999995</v>
      </c>
      <c r="AB216" s="4"/>
      <c r="AC216" s="5">
        <v>12945</v>
      </c>
      <c r="AD216" s="5">
        <v>1000</v>
      </c>
      <c r="AE216" s="5">
        <f>Query1[[#This Row],[Tuition Fee]]-Query1[[#This Row],[Scholarship Amount]]</f>
        <v>11945</v>
      </c>
      <c r="AF216" t="s">
        <v>31</v>
      </c>
    </row>
    <row r="217" spans="1:32" x14ac:dyDescent="0.35">
      <c r="A217" t="s">
        <v>532</v>
      </c>
      <c r="B217" t="s">
        <v>963</v>
      </c>
      <c r="C217" t="s">
        <v>1304</v>
      </c>
      <c r="D217" t="str">
        <f>LEFT(Query1[[#This Row],[First Name]],1) &amp; "." &amp; Query1[[#This Row],[Last Name]] &amp; "@university.edu"</f>
        <v>T.Goodread@university.edu</v>
      </c>
      <c r="E217" t="s">
        <v>43</v>
      </c>
      <c r="F217" s="1">
        <v>37956</v>
      </c>
      <c r="G217" s="2">
        <f ca="1">DATEDIF(Query1[[#This Row],[Date of Birth]],TODAY(),"Y")</f>
        <v>21</v>
      </c>
      <c r="H217" t="s">
        <v>108</v>
      </c>
      <c r="I217">
        <v>2020</v>
      </c>
      <c r="J217" t="s">
        <v>34</v>
      </c>
      <c r="K217" t="s">
        <v>35</v>
      </c>
      <c r="N217" t="s">
        <v>533</v>
      </c>
      <c r="O217" t="s">
        <v>37</v>
      </c>
      <c r="P217">
        <v>3</v>
      </c>
      <c r="Q217" t="s">
        <v>82</v>
      </c>
      <c r="R217" t="s">
        <v>83</v>
      </c>
      <c r="S217" t="s">
        <v>29</v>
      </c>
      <c r="T217" t="s">
        <v>41</v>
      </c>
      <c r="U217">
        <v>44</v>
      </c>
      <c r="V217">
        <v>32</v>
      </c>
      <c r="W217">
        <v>92</v>
      </c>
      <c r="X217" s="2">
        <f>AVERAGE(Query1[[#This Row],[Assignment 1 Score]],Query1[[#This Row],[Assignment 2 Score]],Query1[[#This Row],[Midterm Exam Score]])</f>
        <v>56</v>
      </c>
      <c r="Y217" t="str" cm="1">
        <f t="array" ref="Y21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17" s="3">
        <f>Query1[[#This Row],[Final Score]]*5/100</f>
        <v>2.8</v>
      </c>
      <c r="AA217" s="4">
        <v>0.92174999999999996</v>
      </c>
      <c r="AB217" s="4"/>
      <c r="AC217" s="5">
        <v>12468</v>
      </c>
      <c r="AD217" s="5">
        <v>0</v>
      </c>
      <c r="AE217" s="5">
        <f>Query1[[#This Row],[Tuition Fee]]-Query1[[#This Row],[Scholarship Amount]]</f>
        <v>12468</v>
      </c>
      <c r="AF217" t="s">
        <v>60</v>
      </c>
    </row>
    <row r="218" spans="1:32" x14ac:dyDescent="0.35">
      <c r="A218" t="s">
        <v>534</v>
      </c>
      <c r="B218" t="s">
        <v>964</v>
      </c>
      <c r="C218" t="s">
        <v>1305</v>
      </c>
      <c r="D218" t="str">
        <f>LEFT(Query1[[#This Row],[First Name]],1) &amp; "." &amp; Query1[[#This Row],[Last Name]] &amp; "@university.edu"</f>
        <v>S.Pillifant@university.edu</v>
      </c>
      <c r="E218" t="s">
        <v>32</v>
      </c>
      <c r="F218" s="1">
        <v>37966</v>
      </c>
      <c r="G218" s="2">
        <f ca="1">DATEDIF(Query1[[#This Row],[Date of Birth]],TODAY(),"Y")</f>
        <v>21</v>
      </c>
      <c r="H218" t="s">
        <v>113</v>
      </c>
      <c r="I218">
        <v>2021</v>
      </c>
      <c r="J218" t="s">
        <v>45</v>
      </c>
      <c r="K218" t="s">
        <v>131</v>
      </c>
      <c r="N218" t="s">
        <v>535</v>
      </c>
      <c r="O218" t="s">
        <v>133</v>
      </c>
      <c r="P218">
        <v>3</v>
      </c>
      <c r="Q218" t="s">
        <v>89</v>
      </c>
      <c r="R218" t="s">
        <v>90</v>
      </c>
      <c r="S218" t="s">
        <v>40</v>
      </c>
      <c r="T218" t="s">
        <v>51</v>
      </c>
      <c r="U218">
        <v>70</v>
      </c>
      <c r="V218">
        <v>44</v>
      </c>
      <c r="W218">
        <v>71</v>
      </c>
      <c r="X218" s="2">
        <f>AVERAGE(Query1[[#This Row],[Assignment 1 Score]],Query1[[#This Row],[Assignment 2 Score]],Query1[[#This Row],[Midterm Exam Score]])</f>
        <v>61.666666666666664</v>
      </c>
      <c r="Y218" t="str" cm="1">
        <f t="array" ref="Y21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218" s="3">
        <f>Query1[[#This Row],[Final Score]]*5/100</f>
        <v>3.083333333333333</v>
      </c>
      <c r="AA218" s="4">
        <v>0.87724999999999997</v>
      </c>
      <c r="AB218" s="4"/>
      <c r="AC218" s="5">
        <v>13491</v>
      </c>
      <c r="AD218" s="5">
        <v>5000</v>
      </c>
      <c r="AE218" s="5">
        <f>Query1[[#This Row],[Tuition Fee]]-Query1[[#This Row],[Scholarship Amount]]</f>
        <v>8491</v>
      </c>
      <c r="AF218" t="s">
        <v>31</v>
      </c>
    </row>
    <row r="219" spans="1:32" x14ac:dyDescent="0.35">
      <c r="A219" t="s">
        <v>536</v>
      </c>
      <c r="B219" t="s">
        <v>965</v>
      </c>
      <c r="C219" t="s">
        <v>1306</v>
      </c>
      <c r="D219" t="str">
        <f>LEFT(Query1[[#This Row],[First Name]],1) &amp; "." &amp; Query1[[#This Row],[Last Name]] &amp; "@university.edu"</f>
        <v>G.Mathewes@university.edu</v>
      </c>
      <c r="E219" t="s">
        <v>43</v>
      </c>
      <c r="F219" s="1">
        <v>37976</v>
      </c>
      <c r="G219" s="2">
        <f ca="1">DATEDIF(Query1[[#This Row],[Date of Birth]],TODAY(),"Y")</f>
        <v>21</v>
      </c>
      <c r="H219" t="s">
        <v>119</v>
      </c>
      <c r="I219">
        <v>2022</v>
      </c>
      <c r="J219" t="s">
        <v>54</v>
      </c>
      <c r="K219" t="s">
        <v>135</v>
      </c>
      <c r="N219" t="s">
        <v>537</v>
      </c>
      <c r="O219" t="s">
        <v>137</v>
      </c>
      <c r="P219">
        <v>3</v>
      </c>
      <c r="Q219" t="s">
        <v>38</v>
      </c>
      <c r="R219" t="s">
        <v>39</v>
      </c>
      <c r="S219" t="s">
        <v>29</v>
      </c>
      <c r="T219" t="s">
        <v>30</v>
      </c>
      <c r="U219">
        <v>80</v>
      </c>
      <c r="V219">
        <v>70</v>
      </c>
      <c r="W219">
        <v>85</v>
      </c>
      <c r="X219" s="2">
        <f>AVERAGE(Query1[[#This Row],[Assignment 1 Score]],Query1[[#This Row],[Assignment 2 Score]],Query1[[#This Row],[Midterm Exam Score]])</f>
        <v>78.333333333333329</v>
      </c>
      <c r="Y219" t="str" cm="1">
        <f t="array" ref="Y21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219" s="3">
        <f>Query1[[#This Row],[Final Score]]*5/100</f>
        <v>3.9166666666666661</v>
      </c>
      <c r="AA219" s="4">
        <v>0.91649999999999998</v>
      </c>
      <c r="AB219" s="4"/>
      <c r="AC219" s="5">
        <v>11014</v>
      </c>
      <c r="AD219" s="5">
        <v>1000</v>
      </c>
      <c r="AE219" s="5">
        <f>Query1[[#This Row],[Tuition Fee]]-Query1[[#This Row],[Scholarship Amount]]</f>
        <v>10014</v>
      </c>
      <c r="AF219" t="s">
        <v>31</v>
      </c>
    </row>
    <row r="220" spans="1:32" x14ac:dyDescent="0.35">
      <c r="A220" t="s">
        <v>538</v>
      </c>
      <c r="B220" t="s">
        <v>966</v>
      </c>
      <c r="C220" t="s">
        <v>1307</v>
      </c>
      <c r="D220" t="str">
        <f>LEFT(Query1[[#This Row],[First Name]],1) &amp; "." &amp; Query1[[#This Row],[Last Name]] &amp; "@university.edu"</f>
        <v>N.Nurcombe@university.edu</v>
      </c>
      <c r="E220" t="s">
        <v>32</v>
      </c>
      <c r="F220" s="1">
        <v>37986</v>
      </c>
      <c r="G220" s="2">
        <f ca="1">DATEDIF(Query1[[#This Row],[Date of Birth]],TODAY(),"Y")</f>
        <v>21</v>
      </c>
      <c r="H220" t="s">
        <v>124</v>
      </c>
      <c r="I220">
        <v>2023</v>
      </c>
      <c r="J220" t="s">
        <v>63</v>
      </c>
      <c r="K220" t="s">
        <v>98</v>
      </c>
      <c r="N220" t="s">
        <v>539</v>
      </c>
      <c r="O220" t="s">
        <v>100</v>
      </c>
      <c r="P220">
        <v>5</v>
      </c>
      <c r="Q220" t="s">
        <v>49</v>
      </c>
      <c r="R220" t="s">
        <v>50</v>
      </c>
      <c r="S220" t="s">
        <v>40</v>
      </c>
      <c r="T220" t="s">
        <v>69</v>
      </c>
      <c r="U220">
        <v>45</v>
      </c>
      <c r="V220">
        <v>34</v>
      </c>
      <c r="W220">
        <v>80</v>
      </c>
      <c r="X220" s="2">
        <f>AVERAGE(Query1[[#This Row],[Assignment 1 Score]],Query1[[#This Row],[Assignment 2 Score]],Query1[[#This Row],[Midterm Exam Score]])</f>
        <v>53</v>
      </c>
      <c r="Y220" t="str" cm="1">
        <f t="array" ref="Y22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220" s="3">
        <f>Query1[[#This Row],[Final Score]]*5/100</f>
        <v>2.65</v>
      </c>
      <c r="AA220" s="4">
        <v>0.87724999999999997</v>
      </c>
      <c r="AB220" s="4"/>
      <c r="AC220" s="5">
        <v>15037</v>
      </c>
      <c r="AD220" s="5">
        <v>2000</v>
      </c>
      <c r="AE220" s="5">
        <f>Query1[[#This Row],[Tuition Fee]]-Query1[[#This Row],[Scholarship Amount]]</f>
        <v>13037</v>
      </c>
      <c r="AF220" t="s">
        <v>60</v>
      </c>
    </row>
    <row r="221" spans="1:32" x14ac:dyDescent="0.35">
      <c r="A221" t="s">
        <v>540</v>
      </c>
      <c r="B221" t="s">
        <v>967</v>
      </c>
      <c r="C221" t="s">
        <v>1308</v>
      </c>
      <c r="D221" t="str">
        <f>LEFT(Query1[[#This Row],[First Name]],1) &amp; "." &amp; Query1[[#This Row],[Last Name]] &amp; "@university.edu"</f>
        <v>G.Barlie@university.edu</v>
      </c>
      <c r="E221" t="s">
        <v>43</v>
      </c>
      <c r="F221" s="1">
        <v>37996</v>
      </c>
      <c r="G221" s="2">
        <f ca="1">DATEDIF(Query1[[#This Row],[Date of Birth]],TODAY(),"Y")</f>
        <v>21</v>
      </c>
      <c r="H221" t="s">
        <v>127</v>
      </c>
      <c r="I221">
        <v>2019</v>
      </c>
      <c r="J221" t="s">
        <v>72</v>
      </c>
      <c r="K221" t="s">
        <v>73</v>
      </c>
      <c r="N221" t="s">
        <v>541</v>
      </c>
      <c r="O221" t="s">
        <v>75</v>
      </c>
      <c r="P221">
        <v>4</v>
      </c>
      <c r="Q221" t="s">
        <v>58</v>
      </c>
      <c r="R221" t="s">
        <v>59</v>
      </c>
      <c r="S221" t="s">
        <v>29</v>
      </c>
      <c r="T221" t="s">
        <v>78</v>
      </c>
      <c r="U221">
        <v>34</v>
      </c>
      <c r="V221">
        <v>40</v>
      </c>
      <c r="W221">
        <v>94</v>
      </c>
      <c r="X221" s="2">
        <f>AVERAGE(Query1[[#This Row],[Assignment 1 Score]],Query1[[#This Row],[Assignment 2 Score]],Query1[[#This Row],[Midterm Exam Score]])</f>
        <v>56</v>
      </c>
      <c r="Y221" t="str" cm="1">
        <f t="array" ref="Y22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21" s="3">
        <f>Query1[[#This Row],[Final Score]]*5/100</f>
        <v>2.8</v>
      </c>
      <c r="AA221" s="4">
        <v>0.91649999999999998</v>
      </c>
      <c r="AB221" s="4"/>
      <c r="AC221" s="5">
        <v>12560</v>
      </c>
      <c r="AD221" s="5">
        <v>0</v>
      </c>
      <c r="AE221" s="5">
        <f>Query1[[#This Row],[Tuition Fee]]-Query1[[#This Row],[Scholarship Amount]]</f>
        <v>12560</v>
      </c>
      <c r="AF221" t="s">
        <v>31</v>
      </c>
    </row>
    <row r="222" spans="1:32" x14ac:dyDescent="0.35">
      <c r="A222" t="s">
        <v>542</v>
      </c>
      <c r="B222" t="s">
        <v>968</v>
      </c>
      <c r="C222" t="s">
        <v>1309</v>
      </c>
      <c r="D222" t="str">
        <f>LEFT(Query1[[#This Row],[First Name]],1) &amp; "." &amp; Query1[[#This Row],[Last Name]] &amp; "@university.edu"</f>
        <v>F.Zamorano@university.edu</v>
      </c>
      <c r="E222" t="s">
        <v>32</v>
      </c>
      <c r="F222" s="1">
        <v>38006</v>
      </c>
      <c r="G222" s="2">
        <f ca="1">DATEDIF(Query1[[#This Row],[Date of Birth]],TODAY(),"Y")</f>
        <v>21</v>
      </c>
      <c r="H222" t="s">
        <v>130</v>
      </c>
      <c r="I222">
        <v>2020</v>
      </c>
      <c r="J222" t="s">
        <v>34</v>
      </c>
      <c r="K222" t="s">
        <v>35</v>
      </c>
      <c r="N222" t="s">
        <v>543</v>
      </c>
      <c r="O222" t="s">
        <v>37</v>
      </c>
      <c r="P222">
        <v>3</v>
      </c>
      <c r="Q222" t="s">
        <v>67</v>
      </c>
      <c r="R222" t="s">
        <v>68</v>
      </c>
      <c r="S222" t="s">
        <v>40</v>
      </c>
      <c r="T222" t="s">
        <v>41</v>
      </c>
      <c r="U222">
        <v>33</v>
      </c>
      <c r="V222">
        <v>34</v>
      </c>
      <c r="W222">
        <v>73</v>
      </c>
      <c r="X222" s="2">
        <f>AVERAGE(Query1[[#This Row],[Assignment 1 Score]],Query1[[#This Row],[Assignment 2 Score]],Query1[[#This Row],[Midterm Exam Score]])</f>
        <v>46.666666666666664</v>
      </c>
      <c r="Y222" t="str" cm="1">
        <f t="array" ref="Y22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D</v>
      </c>
      <c r="Z222" s="3">
        <f>Query1[[#This Row],[Final Score]]*5/100</f>
        <v>2.333333333333333</v>
      </c>
      <c r="AA222" s="4">
        <v>0.8919999999999999</v>
      </c>
      <c r="AB222" s="4"/>
      <c r="AC222" s="5">
        <v>12083</v>
      </c>
      <c r="AD222" s="5">
        <v>1000</v>
      </c>
      <c r="AE222" s="5">
        <f>Query1[[#This Row],[Tuition Fee]]-Query1[[#This Row],[Scholarship Amount]]</f>
        <v>11083</v>
      </c>
      <c r="AF222" t="s">
        <v>31</v>
      </c>
    </row>
    <row r="223" spans="1:32" x14ac:dyDescent="0.35">
      <c r="A223" t="s">
        <v>544</v>
      </c>
      <c r="B223" t="s">
        <v>969</v>
      </c>
      <c r="C223" t="s">
        <v>1310</v>
      </c>
      <c r="D223" t="str">
        <f>LEFT(Query1[[#This Row],[First Name]],1) &amp; "." &amp; Query1[[#This Row],[Last Name]] &amp; "@university.edu"</f>
        <v>P.Karolczyk@university.edu</v>
      </c>
      <c r="E223" t="s">
        <v>43</v>
      </c>
      <c r="F223" s="1">
        <v>38016</v>
      </c>
      <c r="G223" s="2">
        <f ca="1">DATEDIF(Query1[[#This Row],[Date of Birth]],TODAY(),"Y")</f>
        <v>21</v>
      </c>
      <c r="H223" t="s">
        <v>33</v>
      </c>
      <c r="I223">
        <v>2021</v>
      </c>
      <c r="J223" t="s">
        <v>45</v>
      </c>
      <c r="K223" t="s">
        <v>46</v>
      </c>
      <c r="N223" t="s">
        <v>545</v>
      </c>
      <c r="O223" t="s">
        <v>48</v>
      </c>
      <c r="P223">
        <v>3</v>
      </c>
      <c r="Q223" t="s">
        <v>76</v>
      </c>
      <c r="R223" t="s">
        <v>77</v>
      </c>
      <c r="S223" t="s">
        <v>29</v>
      </c>
      <c r="T223" t="s">
        <v>51</v>
      </c>
      <c r="U223">
        <v>31</v>
      </c>
      <c r="V223">
        <v>56</v>
      </c>
      <c r="W223">
        <v>87</v>
      </c>
      <c r="X223" s="2">
        <f>AVERAGE(Query1[[#This Row],[Assignment 1 Score]],Query1[[#This Row],[Assignment 2 Score]],Query1[[#This Row],[Midterm Exam Score]])</f>
        <v>58</v>
      </c>
      <c r="Y223" t="str" cm="1">
        <f t="array" ref="Y22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23" s="3">
        <f>Query1[[#This Row],[Final Score]]*5/100</f>
        <v>2.9</v>
      </c>
      <c r="AA223" s="4">
        <v>0.92825000000000002</v>
      </c>
      <c r="AB223" s="4"/>
      <c r="AC223" s="5">
        <v>13106</v>
      </c>
      <c r="AD223" s="5">
        <v>2000</v>
      </c>
      <c r="AE223" s="5">
        <f>Query1[[#This Row],[Tuition Fee]]-Query1[[#This Row],[Scholarship Amount]]</f>
        <v>11106</v>
      </c>
      <c r="AF223" t="s">
        <v>60</v>
      </c>
    </row>
    <row r="224" spans="1:32" x14ac:dyDescent="0.35">
      <c r="A224" t="s">
        <v>546</v>
      </c>
      <c r="B224" t="s">
        <v>970</v>
      </c>
      <c r="C224" t="s">
        <v>1311</v>
      </c>
      <c r="D224" t="str">
        <f>LEFT(Query1[[#This Row],[First Name]],1) &amp; "." &amp; Query1[[#This Row],[Last Name]] &amp; "@university.edu"</f>
        <v>E.Fleay@university.edu</v>
      </c>
      <c r="E224" t="s">
        <v>32</v>
      </c>
      <c r="F224" s="1">
        <v>38026</v>
      </c>
      <c r="G224" s="2">
        <f ca="1">DATEDIF(Query1[[#This Row],[Date of Birth]],TODAY(),"Y")</f>
        <v>21</v>
      </c>
      <c r="H224" t="s">
        <v>44</v>
      </c>
      <c r="I224">
        <v>2022</v>
      </c>
      <c r="J224" t="s">
        <v>54</v>
      </c>
      <c r="K224" t="s">
        <v>55</v>
      </c>
      <c r="N224" t="s">
        <v>547</v>
      </c>
      <c r="O224" t="s">
        <v>57</v>
      </c>
      <c r="P224">
        <v>3</v>
      </c>
      <c r="Q224" t="s">
        <v>82</v>
      </c>
      <c r="R224" t="s">
        <v>83</v>
      </c>
      <c r="S224" t="s">
        <v>40</v>
      </c>
      <c r="T224" t="s">
        <v>30</v>
      </c>
      <c r="U224">
        <v>36</v>
      </c>
      <c r="V224">
        <v>32</v>
      </c>
      <c r="W224">
        <v>66</v>
      </c>
      <c r="X224" s="2">
        <f>AVERAGE(Query1[[#This Row],[Assignment 1 Score]],Query1[[#This Row],[Assignment 2 Score]],Query1[[#This Row],[Midterm Exam Score]])</f>
        <v>44.666666666666664</v>
      </c>
      <c r="Y224" t="str" cm="1">
        <f t="array" ref="Y22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E</v>
      </c>
      <c r="Z224" s="3">
        <f>Query1[[#This Row],[Final Score]]*5/100</f>
        <v>2.2333333333333329</v>
      </c>
      <c r="AA224" s="4">
        <v>0.81</v>
      </c>
      <c r="AB224" s="4"/>
      <c r="AC224" s="5">
        <v>11129</v>
      </c>
      <c r="AD224" s="5">
        <v>1000</v>
      </c>
      <c r="AE224" s="5">
        <f>Query1[[#This Row],[Tuition Fee]]-Query1[[#This Row],[Scholarship Amount]]</f>
        <v>10129</v>
      </c>
      <c r="AF224" t="s">
        <v>31</v>
      </c>
    </row>
    <row r="225" spans="1:32" x14ac:dyDescent="0.35">
      <c r="A225" t="s">
        <v>548</v>
      </c>
      <c r="B225" t="s">
        <v>971</v>
      </c>
      <c r="C225" t="s">
        <v>1312</v>
      </c>
      <c r="D225" t="str">
        <f>LEFT(Query1[[#This Row],[First Name]],1) &amp; "." &amp; Query1[[#This Row],[Last Name]] &amp; "@university.edu"</f>
        <v>S.Arnholz@university.edu</v>
      </c>
      <c r="E225" t="s">
        <v>43</v>
      </c>
      <c r="F225" s="1">
        <v>38036</v>
      </c>
      <c r="G225" s="2">
        <f ca="1">DATEDIF(Query1[[#This Row],[Date of Birth]],TODAY(),"Y")</f>
        <v>21</v>
      </c>
      <c r="H225" t="s">
        <v>53</v>
      </c>
      <c r="I225">
        <v>2023</v>
      </c>
      <c r="J225" t="s">
        <v>63</v>
      </c>
      <c r="K225" t="s">
        <v>120</v>
      </c>
      <c r="N225" t="s">
        <v>549</v>
      </c>
      <c r="O225" t="s">
        <v>122</v>
      </c>
      <c r="P225">
        <v>5</v>
      </c>
      <c r="Q225" t="s">
        <v>89</v>
      </c>
      <c r="R225" t="s">
        <v>90</v>
      </c>
      <c r="S225" t="s">
        <v>29</v>
      </c>
      <c r="T225" t="s">
        <v>69</v>
      </c>
      <c r="U225">
        <v>76</v>
      </c>
      <c r="V225">
        <v>44</v>
      </c>
      <c r="W225">
        <v>80</v>
      </c>
      <c r="X225" s="2">
        <f>AVERAGE(Query1[[#This Row],[Assignment 1 Score]],Query1[[#This Row],[Assignment 2 Score]],Query1[[#This Row],[Midterm Exam Score]])</f>
        <v>66.666666666666671</v>
      </c>
      <c r="Y225" t="str" cm="1">
        <f t="array" ref="Y22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25" s="3">
        <f>Query1[[#This Row],[Final Score]]*5/100</f>
        <v>3.3333333333333339</v>
      </c>
      <c r="AA225" s="4">
        <v>0.91999999999999993</v>
      </c>
      <c r="AB225" s="4"/>
      <c r="AC225" s="5">
        <v>15152</v>
      </c>
      <c r="AD225" s="5">
        <v>0</v>
      </c>
      <c r="AE225" s="5">
        <f>Query1[[#This Row],[Tuition Fee]]-Query1[[#This Row],[Scholarship Amount]]</f>
        <v>15152</v>
      </c>
      <c r="AF225" t="s">
        <v>31</v>
      </c>
    </row>
    <row r="226" spans="1:32" x14ac:dyDescent="0.35">
      <c r="A226" t="s">
        <v>550</v>
      </c>
      <c r="B226" t="s">
        <v>972</v>
      </c>
      <c r="C226" t="s">
        <v>1313</v>
      </c>
      <c r="D226" t="str">
        <f>LEFT(Query1[[#This Row],[First Name]],1) &amp; "." &amp; Query1[[#This Row],[Last Name]] &amp; "@university.edu"</f>
        <v>V.Chimenti@university.edu</v>
      </c>
      <c r="E226" t="s">
        <v>32</v>
      </c>
      <c r="F226" s="1">
        <v>38046</v>
      </c>
      <c r="G226" s="2">
        <f ca="1">DATEDIF(Query1[[#This Row],[Date of Birth]],TODAY(),"Y")</f>
        <v>21</v>
      </c>
      <c r="H226" t="s">
        <v>62</v>
      </c>
      <c r="I226">
        <v>2019</v>
      </c>
      <c r="J226" t="s">
        <v>72</v>
      </c>
      <c r="K226" t="s">
        <v>73</v>
      </c>
      <c r="N226" t="s">
        <v>551</v>
      </c>
      <c r="O226" t="s">
        <v>75</v>
      </c>
      <c r="P226">
        <v>4</v>
      </c>
      <c r="Q226" t="s">
        <v>38</v>
      </c>
      <c r="R226" t="s">
        <v>39</v>
      </c>
      <c r="S226" t="s">
        <v>40</v>
      </c>
      <c r="T226" t="s">
        <v>78</v>
      </c>
      <c r="U226">
        <v>40</v>
      </c>
      <c r="V226">
        <v>70</v>
      </c>
      <c r="W226">
        <v>50</v>
      </c>
      <c r="X226" s="2">
        <f>AVERAGE(Query1[[#This Row],[Assignment 1 Score]],Query1[[#This Row],[Assignment 2 Score]],Query1[[#This Row],[Midterm Exam Score]])</f>
        <v>53.333333333333336</v>
      </c>
      <c r="Y226" t="str" cm="1">
        <f t="array" ref="Y22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226" s="3">
        <f>Query1[[#This Row],[Final Score]]*5/100</f>
        <v>2.666666666666667</v>
      </c>
      <c r="AA226" s="4">
        <v>0.88374999999999992</v>
      </c>
      <c r="AB226" s="4"/>
      <c r="AC226" s="5">
        <v>12675</v>
      </c>
      <c r="AD226" s="5">
        <v>2000</v>
      </c>
      <c r="AE226" s="5">
        <f>Query1[[#This Row],[Tuition Fee]]-Query1[[#This Row],[Scholarship Amount]]</f>
        <v>10675</v>
      </c>
      <c r="AF226" t="s">
        <v>60</v>
      </c>
    </row>
    <row r="227" spans="1:32" x14ac:dyDescent="0.35">
      <c r="A227" t="s">
        <v>552</v>
      </c>
      <c r="B227" t="s">
        <v>973</v>
      </c>
      <c r="C227" t="s">
        <v>1314</v>
      </c>
      <c r="D227" t="str">
        <f>LEFT(Query1[[#This Row],[First Name]],1) &amp; "." &amp; Query1[[#This Row],[Last Name]] &amp; "@university.edu"</f>
        <v>K.Eighteen@university.edu</v>
      </c>
      <c r="E227" t="s">
        <v>43</v>
      </c>
      <c r="F227" s="1">
        <v>38056</v>
      </c>
      <c r="G227" s="2">
        <f ca="1">DATEDIF(Query1[[#This Row],[Date of Birth]],TODAY(),"Y")</f>
        <v>21</v>
      </c>
      <c r="H227" t="s">
        <v>71</v>
      </c>
      <c r="I227">
        <v>2020</v>
      </c>
      <c r="J227" t="s">
        <v>34</v>
      </c>
      <c r="K227" t="s">
        <v>35</v>
      </c>
      <c r="N227" t="s">
        <v>553</v>
      </c>
      <c r="O227" t="s">
        <v>37</v>
      </c>
      <c r="P227">
        <v>3</v>
      </c>
      <c r="Q227" t="s">
        <v>49</v>
      </c>
      <c r="R227" t="s">
        <v>50</v>
      </c>
      <c r="S227" t="s">
        <v>29</v>
      </c>
      <c r="T227" t="s">
        <v>41</v>
      </c>
      <c r="U227">
        <v>34</v>
      </c>
      <c r="V227">
        <v>50</v>
      </c>
      <c r="W227">
        <v>60</v>
      </c>
      <c r="X227" s="2">
        <f>AVERAGE(Query1[[#This Row],[Assignment 1 Score]],Query1[[#This Row],[Assignment 2 Score]],Query1[[#This Row],[Midterm Exam Score]])</f>
        <v>48</v>
      </c>
      <c r="Y227" t="str" cm="1">
        <f t="array" ref="Y22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D</v>
      </c>
      <c r="Z227" s="3">
        <f>Query1[[#This Row],[Final Score]]*5/100</f>
        <v>2.4</v>
      </c>
      <c r="AA227" s="4">
        <v>0.92299999999999993</v>
      </c>
      <c r="AB227" s="4"/>
      <c r="AC227" s="5">
        <v>12198</v>
      </c>
      <c r="AD227" s="5">
        <v>1000</v>
      </c>
      <c r="AE227" s="5">
        <f>Query1[[#This Row],[Tuition Fee]]-Query1[[#This Row],[Scholarship Amount]]</f>
        <v>11198</v>
      </c>
      <c r="AF227" t="s">
        <v>31</v>
      </c>
    </row>
    <row r="228" spans="1:32" x14ac:dyDescent="0.35">
      <c r="A228" t="s">
        <v>554</v>
      </c>
      <c r="B228" t="s">
        <v>974</v>
      </c>
      <c r="C228" t="s">
        <v>1315</v>
      </c>
      <c r="D228" t="str">
        <f>LEFT(Query1[[#This Row],[First Name]],1) &amp; "." &amp; Query1[[#This Row],[Last Name]] &amp; "@university.edu"</f>
        <v>E.Parham@university.edu</v>
      </c>
      <c r="E228" t="s">
        <v>32</v>
      </c>
      <c r="F228" s="1">
        <v>38066</v>
      </c>
      <c r="G228" s="2">
        <f ca="1">DATEDIF(Query1[[#This Row],[Date of Birth]],TODAY(),"Y")</f>
        <v>21</v>
      </c>
      <c r="H228" t="s">
        <v>80</v>
      </c>
      <c r="I228">
        <v>2021</v>
      </c>
      <c r="J228" t="s">
        <v>45</v>
      </c>
      <c r="K228" t="s">
        <v>86</v>
      </c>
      <c r="N228" t="s">
        <v>555</v>
      </c>
      <c r="O228" t="s">
        <v>88</v>
      </c>
      <c r="P228">
        <v>3</v>
      </c>
      <c r="Q228" t="s">
        <v>58</v>
      </c>
      <c r="R228" t="s">
        <v>59</v>
      </c>
      <c r="S228" t="s">
        <v>40</v>
      </c>
      <c r="T228" t="s">
        <v>51</v>
      </c>
      <c r="U228">
        <v>56</v>
      </c>
      <c r="V228">
        <v>60</v>
      </c>
      <c r="W228">
        <v>41</v>
      </c>
      <c r="X228" s="2">
        <f>AVERAGE(Query1[[#This Row],[Assignment 1 Score]],Query1[[#This Row],[Assignment 2 Score]],Query1[[#This Row],[Midterm Exam Score]])</f>
        <v>52.333333333333336</v>
      </c>
      <c r="Y228" t="str" cm="1">
        <f t="array" ref="Y22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228" s="3">
        <f>Query1[[#This Row],[Final Score]]*5/100</f>
        <v>2.6166666666666667</v>
      </c>
      <c r="AA228" s="4">
        <v>0.87549999999999994</v>
      </c>
      <c r="AB228" s="4"/>
      <c r="AC228" s="5">
        <v>13221</v>
      </c>
      <c r="AD228" s="5">
        <v>1000</v>
      </c>
      <c r="AE228" s="5">
        <f>Query1[[#This Row],[Tuition Fee]]-Query1[[#This Row],[Scholarship Amount]]</f>
        <v>12221</v>
      </c>
      <c r="AF228" t="s">
        <v>31</v>
      </c>
    </row>
    <row r="229" spans="1:32" x14ac:dyDescent="0.35">
      <c r="A229" t="s">
        <v>556</v>
      </c>
      <c r="B229" t="s">
        <v>975</v>
      </c>
      <c r="C229" t="s">
        <v>1316</v>
      </c>
      <c r="D229" t="str">
        <f>LEFT(Query1[[#This Row],[First Name]],1) &amp; "." &amp; Query1[[#This Row],[Last Name]] &amp; "@university.edu"</f>
        <v>P.Rosendale@university.edu</v>
      </c>
      <c r="E229" t="s">
        <v>43</v>
      </c>
      <c r="F229" s="1">
        <v>38076</v>
      </c>
      <c r="G229" s="2">
        <f ca="1">DATEDIF(Query1[[#This Row],[Date of Birth]],TODAY(),"Y")</f>
        <v>21</v>
      </c>
      <c r="H229" t="s">
        <v>85</v>
      </c>
      <c r="I229">
        <v>2022</v>
      </c>
      <c r="J229" t="s">
        <v>54</v>
      </c>
      <c r="K229" t="s">
        <v>93</v>
      </c>
      <c r="N229" t="s">
        <v>557</v>
      </c>
      <c r="O229" t="s">
        <v>95</v>
      </c>
      <c r="P229">
        <v>3</v>
      </c>
      <c r="Q229" t="s">
        <v>67</v>
      </c>
      <c r="R229" t="s">
        <v>68</v>
      </c>
      <c r="S229" t="s">
        <v>29</v>
      </c>
      <c r="T229" t="s">
        <v>30</v>
      </c>
      <c r="U229">
        <v>32</v>
      </c>
      <c r="V229">
        <v>60</v>
      </c>
      <c r="W229">
        <v>38</v>
      </c>
      <c r="X229" s="2">
        <f>AVERAGE(Query1[[#This Row],[Assignment 1 Score]],Query1[[#This Row],[Assignment 2 Score]],Query1[[#This Row],[Midterm Exam Score]])</f>
        <v>43.333333333333336</v>
      </c>
      <c r="Y229" t="str" cm="1">
        <f t="array" ref="Y22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E</v>
      </c>
      <c r="Z229" s="3">
        <f>Query1[[#This Row],[Final Score]]*5/100</f>
        <v>2.166666666666667</v>
      </c>
      <c r="AA229" s="4">
        <v>0.77</v>
      </c>
      <c r="AB229" s="4"/>
      <c r="AC229" s="5">
        <v>11244</v>
      </c>
      <c r="AD229" s="5">
        <v>0</v>
      </c>
      <c r="AE229" s="5">
        <f>Query1[[#This Row],[Tuition Fee]]-Query1[[#This Row],[Scholarship Amount]]</f>
        <v>11244</v>
      </c>
      <c r="AF229" t="s">
        <v>60</v>
      </c>
    </row>
    <row r="230" spans="1:32" x14ac:dyDescent="0.35">
      <c r="A230" t="s">
        <v>558</v>
      </c>
      <c r="B230" t="s">
        <v>976</v>
      </c>
      <c r="C230" t="s">
        <v>1317</v>
      </c>
      <c r="D230" t="str">
        <f>LEFT(Query1[[#This Row],[First Name]],1) &amp; "." &amp; Query1[[#This Row],[Last Name]] &amp; "@university.edu"</f>
        <v>N.Whitworth@university.edu</v>
      </c>
      <c r="E230" t="s">
        <v>32</v>
      </c>
      <c r="F230" s="1">
        <v>38086</v>
      </c>
      <c r="G230" s="2">
        <f ca="1">DATEDIF(Query1[[#This Row],[Date of Birth]],TODAY(),"Y")</f>
        <v>21</v>
      </c>
      <c r="H230" t="s">
        <v>92</v>
      </c>
      <c r="I230">
        <v>2023</v>
      </c>
      <c r="J230" t="s">
        <v>63</v>
      </c>
      <c r="K230" t="s">
        <v>64</v>
      </c>
      <c r="N230" t="s">
        <v>559</v>
      </c>
      <c r="O230" t="s">
        <v>66</v>
      </c>
      <c r="P230">
        <v>5</v>
      </c>
      <c r="Q230" t="s">
        <v>76</v>
      </c>
      <c r="R230" t="s">
        <v>77</v>
      </c>
      <c r="S230" t="s">
        <v>40</v>
      </c>
      <c r="T230" t="s">
        <v>69</v>
      </c>
      <c r="U230">
        <v>44</v>
      </c>
      <c r="V230">
        <v>41</v>
      </c>
      <c r="W230">
        <v>59</v>
      </c>
      <c r="X230" s="2">
        <f>AVERAGE(Query1[[#This Row],[Assignment 1 Score]],Query1[[#This Row],[Assignment 2 Score]],Query1[[#This Row],[Midterm Exam Score]])</f>
        <v>48</v>
      </c>
      <c r="Y230" t="str" cm="1">
        <f t="array" ref="Y23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D</v>
      </c>
      <c r="Z230" s="3">
        <f>Query1[[#This Row],[Final Score]]*5/100</f>
        <v>2.4</v>
      </c>
      <c r="AA230" s="4">
        <v>0.86649999999999994</v>
      </c>
      <c r="AB230" s="4"/>
      <c r="AC230" s="5">
        <v>15267</v>
      </c>
      <c r="AD230" s="5">
        <v>1000</v>
      </c>
      <c r="AE230" s="5">
        <f>Query1[[#This Row],[Tuition Fee]]-Query1[[#This Row],[Scholarship Amount]]</f>
        <v>14267</v>
      </c>
      <c r="AF230" t="s">
        <v>31</v>
      </c>
    </row>
    <row r="231" spans="1:32" x14ac:dyDescent="0.35">
      <c r="A231" t="s">
        <v>560</v>
      </c>
      <c r="B231" t="s">
        <v>977</v>
      </c>
      <c r="C231" t="s">
        <v>1318</v>
      </c>
      <c r="D231" t="str">
        <f>LEFT(Query1[[#This Row],[First Name]],1) &amp; "." &amp; Query1[[#This Row],[Last Name]] &amp; "@university.edu"</f>
        <v>B.Beasley@university.edu</v>
      </c>
      <c r="E231" t="s">
        <v>43</v>
      </c>
      <c r="F231" s="1">
        <v>38096</v>
      </c>
      <c r="G231" s="2">
        <f ca="1">DATEDIF(Query1[[#This Row],[Date of Birth]],TODAY(),"Y")</f>
        <v>21</v>
      </c>
      <c r="H231" t="s">
        <v>97</v>
      </c>
      <c r="I231">
        <v>2019</v>
      </c>
      <c r="J231" t="s">
        <v>72</v>
      </c>
      <c r="K231" t="s">
        <v>73</v>
      </c>
      <c r="N231" t="s">
        <v>561</v>
      </c>
      <c r="O231" t="s">
        <v>75</v>
      </c>
      <c r="P231">
        <v>4</v>
      </c>
      <c r="Q231" t="s">
        <v>82</v>
      </c>
      <c r="R231" t="s">
        <v>83</v>
      </c>
      <c r="S231" t="s">
        <v>29</v>
      </c>
      <c r="T231" t="s">
        <v>78</v>
      </c>
      <c r="U231">
        <v>70</v>
      </c>
      <c r="V231">
        <v>38</v>
      </c>
      <c r="W231">
        <v>40</v>
      </c>
      <c r="X231" s="2">
        <f>AVERAGE(Query1[[#This Row],[Assignment 1 Score]],Query1[[#This Row],[Assignment 2 Score]],Query1[[#This Row],[Midterm Exam Score]])</f>
        <v>49.333333333333336</v>
      </c>
      <c r="Y231" t="str" cm="1">
        <f t="array" ref="Y23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D</v>
      </c>
      <c r="Z231" s="3">
        <f>Query1[[#This Row],[Final Score]]*5/100</f>
        <v>2.4666666666666668</v>
      </c>
      <c r="AA231" s="4">
        <v>0.91474999999999995</v>
      </c>
      <c r="AB231" s="4"/>
      <c r="AC231" s="5">
        <v>12790</v>
      </c>
      <c r="AD231" s="5">
        <v>1000</v>
      </c>
      <c r="AE231" s="5">
        <f>Query1[[#This Row],[Tuition Fee]]-Query1[[#This Row],[Scholarship Amount]]</f>
        <v>11790</v>
      </c>
      <c r="AF231" t="s">
        <v>31</v>
      </c>
    </row>
    <row r="232" spans="1:32" x14ac:dyDescent="0.35">
      <c r="A232" t="s">
        <v>562</v>
      </c>
      <c r="B232" t="s">
        <v>978</v>
      </c>
      <c r="C232" t="s">
        <v>1319</v>
      </c>
      <c r="D232" t="str">
        <f>LEFT(Query1[[#This Row],[First Name]],1) &amp; "." &amp; Query1[[#This Row],[Last Name]] &amp; "@university.edu"</f>
        <v>J.Ireson@university.edu</v>
      </c>
      <c r="E232" t="s">
        <v>32</v>
      </c>
      <c r="F232" s="1">
        <v>38106</v>
      </c>
      <c r="G232" s="2">
        <f ca="1">DATEDIF(Query1[[#This Row],[Date of Birth]],TODAY(),"Y")</f>
        <v>21</v>
      </c>
      <c r="H232" t="s">
        <v>102</v>
      </c>
      <c r="I232">
        <v>2020</v>
      </c>
      <c r="J232" t="s">
        <v>34</v>
      </c>
      <c r="K232" t="s">
        <v>35</v>
      </c>
      <c r="N232" t="s">
        <v>563</v>
      </c>
      <c r="O232" t="s">
        <v>37</v>
      </c>
      <c r="P232">
        <v>3</v>
      </c>
      <c r="Q232" t="s">
        <v>89</v>
      </c>
      <c r="R232" t="s">
        <v>90</v>
      </c>
      <c r="S232" t="s">
        <v>40</v>
      </c>
      <c r="T232" t="s">
        <v>41</v>
      </c>
      <c r="U232">
        <v>50</v>
      </c>
      <c r="V232">
        <v>59</v>
      </c>
      <c r="W232">
        <v>34</v>
      </c>
      <c r="X232" s="2">
        <f>AVERAGE(Query1[[#This Row],[Assignment 1 Score]],Query1[[#This Row],[Assignment 2 Score]],Query1[[#This Row],[Midterm Exam Score]])</f>
        <v>47.666666666666664</v>
      </c>
      <c r="Y232" t="str" cm="1">
        <f t="array" ref="Y23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D</v>
      </c>
      <c r="Z232" s="3">
        <f>Query1[[#This Row],[Final Score]]*5/100</f>
        <v>2.3833333333333333</v>
      </c>
      <c r="AA232" s="4">
        <v>0.87024999999999997</v>
      </c>
      <c r="AB232" s="4"/>
      <c r="AC232" s="5">
        <v>12313</v>
      </c>
      <c r="AD232" s="5">
        <v>5000</v>
      </c>
      <c r="AE232" s="5">
        <f>Query1[[#This Row],[Tuition Fee]]-Query1[[#This Row],[Scholarship Amount]]</f>
        <v>7313</v>
      </c>
      <c r="AF232" t="s">
        <v>60</v>
      </c>
    </row>
    <row r="233" spans="1:32" x14ac:dyDescent="0.35">
      <c r="A233" t="s">
        <v>564</v>
      </c>
      <c r="B233" t="s">
        <v>979</v>
      </c>
      <c r="C233" t="s">
        <v>1320</v>
      </c>
      <c r="D233" t="str">
        <f>LEFT(Query1[[#This Row],[First Name]],1) &amp; "." &amp; Query1[[#This Row],[Last Name]] &amp; "@university.edu"</f>
        <v>H.Iacopini@university.edu</v>
      </c>
      <c r="E233" t="s">
        <v>43</v>
      </c>
      <c r="F233" s="1">
        <v>38116</v>
      </c>
      <c r="G233" s="2">
        <f ca="1">DATEDIF(Query1[[#This Row],[Date of Birth]],TODAY(),"Y")</f>
        <v>21</v>
      </c>
      <c r="H233" t="s">
        <v>105</v>
      </c>
      <c r="I233">
        <v>2021</v>
      </c>
      <c r="J233" t="s">
        <v>45</v>
      </c>
      <c r="K233" t="s">
        <v>109</v>
      </c>
      <c r="N233" t="s">
        <v>565</v>
      </c>
      <c r="O233" t="s">
        <v>111</v>
      </c>
      <c r="P233">
        <v>3</v>
      </c>
      <c r="Q233" t="s">
        <v>38</v>
      </c>
      <c r="R233" t="s">
        <v>39</v>
      </c>
      <c r="S233" t="s">
        <v>29</v>
      </c>
      <c r="T233" t="s">
        <v>51</v>
      </c>
      <c r="U233">
        <v>60</v>
      </c>
      <c r="V233">
        <v>59</v>
      </c>
      <c r="W233">
        <v>56</v>
      </c>
      <c r="X233" s="2">
        <f>AVERAGE(Query1[[#This Row],[Assignment 1 Score]],Query1[[#This Row],[Assignment 2 Score]],Query1[[#This Row],[Midterm Exam Score]])</f>
        <v>58.333333333333336</v>
      </c>
      <c r="Y233" t="str" cm="1">
        <f t="array" ref="Y23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33" s="3">
        <f>Query1[[#This Row],[Final Score]]*5/100</f>
        <v>2.916666666666667</v>
      </c>
      <c r="AA233" s="4">
        <v>0.90649999999999997</v>
      </c>
      <c r="AB233" s="4"/>
      <c r="AC233" s="5">
        <v>13336</v>
      </c>
      <c r="AD233" s="5">
        <v>0</v>
      </c>
      <c r="AE233" s="5">
        <f>Query1[[#This Row],[Tuition Fee]]-Query1[[#This Row],[Scholarship Amount]]</f>
        <v>13336</v>
      </c>
      <c r="AF233" t="s">
        <v>31</v>
      </c>
    </row>
    <row r="234" spans="1:32" x14ac:dyDescent="0.35">
      <c r="A234" t="s">
        <v>566</v>
      </c>
      <c r="B234" t="s">
        <v>980</v>
      </c>
      <c r="C234" t="s">
        <v>1321</v>
      </c>
      <c r="D234" t="str">
        <f>LEFT(Query1[[#This Row],[First Name]],1) &amp; "." &amp; Query1[[#This Row],[Last Name]] &amp; "@university.edu"</f>
        <v>J.Twiname@university.edu</v>
      </c>
      <c r="E234" t="s">
        <v>32</v>
      </c>
      <c r="F234" s="1">
        <v>38126</v>
      </c>
      <c r="G234" s="2">
        <f ca="1">DATEDIF(Query1[[#This Row],[Date of Birth]],TODAY(),"Y")</f>
        <v>21</v>
      </c>
      <c r="H234" t="s">
        <v>108</v>
      </c>
      <c r="I234">
        <v>2022</v>
      </c>
      <c r="J234" t="s">
        <v>54</v>
      </c>
      <c r="K234" t="s">
        <v>114</v>
      </c>
      <c r="N234" t="s">
        <v>567</v>
      </c>
      <c r="O234" t="s">
        <v>116</v>
      </c>
      <c r="P234">
        <v>3</v>
      </c>
      <c r="Q234" t="s">
        <v>49</v>
      </c>
      <c r="R234" t="s">
        <v>50</v>
      </c>
      <c r="S234" t="s">
        <v>40</v>
      </c>
      <c r="T234" t="s">
        <v>30</v>
      </c>
      <c r="U234">
        <v>41</v>
      </c>
      <c r="V234">
        <v>40</v>
      </c>
      <c r="W234">
        <v>32</v>
      </c>
      <c r="X234" s="2">
        <f>AVERAGE(Query1[[#This Row],[Assignment 1 Score]],Query1[[#This Row],[Assignment 2 Score]],Query1[[#This Row],[Midterm Exam Score]])</f>
        <v>37.666666666666664</v>
      </c>
      <c r="Y234" t="str" cm="1">
        <f t="array" ref="Y23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F</v>
      </c>
      <c r="Z234" s="3">
        <f>Query1[[#This Row],[Final Score]]*5/100</f>
        <v>1.8833333333333331</v>
      </c>
      <c r="AA234" s="4">
        <v>0.85824999999999996</v>
      </c>
      <c r="AB234" s="4"/>
      <c r="AC234" s="5">
        <v>11359</v>
      </c>
      <c r="AD234" s="5">
        <v>1000</v>
      </c>
      <c r="AE234" s="5">
        <f>Query1[[#This Row],[Tuition Fee]]-Query1[[#This Row],[Scholarship Amount]]</f>
        <v>10359</v>
      </c>
      <c r="AF234" t="s">
        <v>31</v>
      </c>
    </row>
    <row r="235" spans="1:32" x14ac:dyDescent="0.35">
      <c r="A235" t="s">
        <v>568</v>
      </c>
      <c r="B235" t="s">
        <v>981</v>
      </c>
      <c r="C235" t="s">
        <v>1322</v>
      </c>
      <c r="D235" t="str">
        <f>LEFT(Query1[[#This Row],[First Name]],1) &amp; "." &amp; Query1[[#This Row],[Last Name]] &amp; "@university.edu"</f>
        <v>C.Kenson@university.edu</v>
      </c>
      <c r="E235" t="s">
        <v>43</v>
      </c>
      <c r="F235" s="1">
        <v>38136</v>
      </c>
      <c r="G235" s="2">
        <f ca="1">DATEDIF(Query1[[#This Row],[Date of Birth]],TODAY(),"Y")</f>
        <v>21</v>
      </c>
      <c r="H235" t="s">
        <v>113</v>
      </c>
      <c r="I235">
        <v>2023</v>
      </c>
      <c r="J235" t="s">
        <v>63</v>
      </c>
      <c r="K235" t="s">
        <v>98</v>
      </c>
      <c r="N235" t="s">
        <v>569</v>
      </c>
      <c r="O235" t="s">
        <v>100</v>
      </c>
      <c r="P235">
        <v>5</v>
      </c>
      <c r="Q235" t="s">
        <v>58</v>
      </c>
      <c r="R235" t="s">
        <v>59</v>
      </c>
      <c r="S235" t="s">
        <v>29</v>
      </c>
      <c r="T235" t="s">
        <v>69</v>
      </c>
      <c r="U235">
        <v>38</v>
      </c>
      <c r="V235">
        <v>34</v>
      </c>
      <c r="W235">
        <v>44</v>
      </c>
      <c r="X235" s="2">
        <f>AVERAGE(Query1[[#This Row],[Assignment 1 Score]],Query1[[#This Row],[Assignment 2 Score]],Query1[[#This Row],[Midterm Exam Score]])</f>
        <v>38.666666666666664</v>
      </c>
      <c r="Y235" t="str" cm="1">
        <f t="array" ref="Y23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F</v>
      </c>
      <c r="Z235" s="3">
        <f>Query1[[#This Row],[Final Score]]*5/100</f>
        <v>1.9333333333333331</v>
      </c>
      <c r="AA235" s="4">
        <v>0.90125</v>
      </c>
      <c r="AB235" s="4"/>
      <c r="AC235" s="5">
        <v>15382</v>
      </c>
      <c r="AD235" s="5">
        <v>2000</v>
      </c>
      <c r="AE235" s="5">
        <f>Query1[[#This Row],[Tuition Fee]]-Query1[[#This Row],[Scholarship Amount]]</f>
        <v>13382</v>
      </c>
      <c r="AF235" t="s">
        <v>60</v>
      </c>
    </row>
    <row r="236" spans="1:32" x14ac:dyDescent="0.35">
      <c r="A236" t="s">
        <v>570</v>
      </c>
      <c r="B236" t="s">
        <v>982</v>
      </c>
      <c r="C236" t="s">
        <v>1323</v>
      </c>
      <c r="D236" t="str">
        <f>LEFT(Query1[[#This Row],[First Name]],1) &amp; "." &amp; Query1[[#This Row],[Last Name]] &amp; "@university.edu"</f>
        <v>W.Winterbourne@university.edu</v>
      </c>
      <c r="E236" t="s">
        <v>32</v>
      </c>
      <c r="F236" s="1">
        <v>38146</v>
      </c>
      <c r="G236" s="2">
        <f ca="1">DATEDIF(Query1[[#This Row],[Date of Birth]],TODAY(),"Y")</f>
        <v>21</v>
      </c>
      <c r="H236" t="s">
        <v>119</v>
      </c>
      <c r="I236">
        <v>2019</v>
      </c>
      <c r="J236" t="s">
        <v>72</v>
      </c>
      <c r="K236" t="s">
        <v>73</v>
      </c>
      <c r="N236" t="s">
        <v>571</v>
      </c>
      <c r="O236" t="s">
        <v>75</v>
      </c>
      <c r="P236">
        <v>4</v>
      </c>
      <c r="Q236" t="s">
        <v>67</v>
      </c>
      <c r="R236" t="s">
        <v>68</v>
      </c>
      <c r="S236" t="s">
        <v>40</v>
      </c>
      <c r="T236" t="s">
        <v>78</v>
      </c>
      <c r="U236">
        <v>59</v>
      </c>
      <c r="V236">
        <v>56</v>
      </c>
      <c r="W236">
        <v>70</v>
      </c>
      <c r="X236" s="2">
        <f>AVERAGE(Query1[[#This Row],[Assignment 1 Score]],Query1[[#This Row],[Assignment 2 Score]],Query1[[#This Row],[Midterm Exam Score]])</f>
        <v>61.666666666666664</v>
      </c>
      <c r="Y236" t="str" cm="1">
        <f t="array" ref="Y23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236" s="3">
        <f>Query1[[#This Row],[Final Score]]*5/100</f>
        <v>3.083333333333333</v>
      </c>
      <c r="AA236" s="4">
        <v>0.86199999999999999</v>
      </c>
      <c r="AB236" s="4"/>
      <c r="AC236" s="5">
        <v>12905</v>
      </c>
      <c r="AD236" s="5">
        <v>1000</v>
      </c>
      <c r="AE236" s="5">
        <f>Query1[[#This Row],[Tuition Fee]]-Query1[[#This Row],[Scholarship Amount]]</f>
        <v>11905</v>
      </c>
      <c r="AF236" t="s">
        <v>31</v>
      </c>
    </row>
    <row r="237" spans="1:32" x14ac:dyDescent="0.35">
      <c r="A237" t="s">
        <v>572</v>
      </c>
      <c r="B237" t="s">
        <v>983</v>
      </c>
      <c r="C237" t="s">
        <v>1324</v>
      </c>
      <c r="D237" t="str">
        <f>LEFT(Query1[[#This Row],[First Name]],1) &amp; "." &amp; Query1[[#This Row],[Last Name]] &amp; "@university.edu"</f>
        <v>L.Salt@university.edu</v>
      </c>
      <c r="E237" t="s">
        <v>43</v>
      </c>
      <c r="F237" s="1">
        <v>38156</v>
      </c>
      <c r="G237" s="2">
        <f ca="1">DATEDIF(Query1[[#This Row],[Date of Birth]],TODAY(),"Y")</f>
        <v>21</v>
      </c>
      <c r="H237" t="s">
        <v>124</v>
      </c>
      <c r="I237">
        <v>2020</v>
      </c>
      <c r="J237" t="s">
        <v>34</v>
      </c>
      <c r="K237" t="s">
        <v>35</v>
      </c>
      <c r="N237" t="s">
        <v>573</v>
      </c>
      <c r="O237" t="s">
        <v>37</v>
      </c>
      <c r="P237">
        <v>3</v>
      </c>
      <c r="Q237" t="s">
        <v>76</v>
      </c>
      <c r="R237" t="s">
        <v>77</v>
      </c>
      <c r="S237" t="s">
        <v>29</v>
      </c>
      <c r="T237" t="s">
        <v>41</v>
      </c>
      <c r="U237">
        <v>59</v>
      </c>
      <c r="V237">
        <v>32</v>
      </c>
      <c r="W237">
        <v>80</v>
      </c>
      <c r="X237" s="2">
        <f>AVERAGE(Query1[[#This Row],[Assignment 1 Score]],Query1[[#This Row],[Assignment 2 Score]],Query1[[#This Row],[Midterm Exam Score]])</f>
        <v>57</v>
      </c>
      <c r="Y237" t="str" cm="1">
        <f t="array" ref="Y23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37" s="3">
        <f>Query1[[#This Row],[Final Score]]*5/100</f>
        <v>2.85</v>
      </c>
      <c r="AA237" s="4">
        <v>0.90125</v>
      </c>
      <c r="AB237" s="4"/>
      <c r="AC237" s="5">
        <v>12428</v>
      </c>
      <c r="AD237" s="5">
        <v>0</v>
      </c>
      <c r="AE237" s="5">
        <f>Query1[[#This Row],[Tuition Fee]]-Query1[[#This Row],[Scholarship Amount]]</f>
        <v>12428</v>
      </c>
      <c r="AF237" t="s">
        <v>31</v>
      </c>
    </row>
    <row r="238" spans="1:32" x14ac:dyDescent="0.35">
      <c r="A238" t="s">
        <v>574</v>
      </c>
      <c r="B238" t="s">
        <v>984</v>
      </c>
      <c r="C238" t="s">
        <v>1325</v>
      </c>
      <c r="D238" t="str">
        <f>LEFT(Query1[[#This Row],[First Name]],1) &amp; "." &amp; Query1[[#This Row],[Last Name]] &amp; "@university.edu"</f>
        <v>A.Bellon@university.edu</v>
      </c>
      <c r="E238" t="s">
        <v>32</v>
      </c>
      <c r="F238" s="1">
        <v>38166</v>
      </c>
      <c r="G238" s="2">
        <f ca="1">DATEDIF(Query1[[#This Row],[Date of Birth]],TODAY(),"Y")</f>
        <v>21</v>
      </c>
      <c r="H238" t="s">
        <v>127</v>
      </c>
      <c r="I238">
        <v>2021</v>
      </c>
      <c r="J238" t="s">
        <v>45</v>
      </c>
      <c r="K238" t="s">
        <v>131</v>
      </c>
      <c r="N238" t="s">
        <v>575</v>
      </c>
      <c r="O238" t="s">
        <v>133</v>
      </c>
      <c r="P238">
        <v>3</v>
      </c>
      <c r="Q238" t="s">
        <v>82</v>
      </c>
      <c r="R238" t="s">
        <v>83</v>
      </c>
      <c r="S238" t="s">
        <v>40</v>
      </c>
      <c r="T238" t="s">
        <v>51</v>
      </c>
      <c r="U238">
        <v>40</v>
      </c>
      <c r="V238">
        <v>44</v>
      </c>
      <c r="W238">
        <v>45</v>
      </c>
      <c r="X238" s="2">
        <f>AVERAGE(Query1[[#This Row],[Assignment 1 Score]],Query1[[#This Row],[Assignment 2 Score]],Query1[[#This Row],[Midterm Exam Score]])</f>
        <v>43</v>
      </c>
      <c r="Y238" t="str" cm="1">
        <f t="array" ref="Y23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E</v>
      </c>
      <c r="Z238" s="3">
        <f>Query1[[#This Row],[Final Score]]*5/100</f>
        <v>2.15</v>
      </c>
      <c r="AA238" s="4">
        <v>0.8567499999999999</v>
      </c>
      <c r="AB238" s="4"/>
      <c r="AC238" s="5">
        <v>13451</v>
      </c>
      <c r="AD238" s="5">
        <v>2000</v>
      </c>
      <c r="AE238" s="5">
        <f>Query1[[#This Row],[Tuition Fee]]-Query1[[#This Row],[Scholarship Amount]]</f>
        <v>11451</v>
      </c>
      <c r="AF238" t="s">
        <v>60</v>
      </c>
    </row>
    <row r="239" spans="1:32" x14ac:dyDescent="0.35">
      <c r="A239" t="s">
        <v>576</v>
      </c>
      <c r="B239" t="s">
        <v>985</v>
      </c>
      <c r="C239" t="s">
        <v>1326</v>
      </c>
      <c r="D239" t="str">
        <f>LEFT(Query1[[#This Row],[First Name]],1) &amp; "." &amp; Query1[[#This Row],[Last Name]] &amp; "@university.edu"</f>
        <v>R.McLachlan@university.edu</v>
      </c>
      <c r="E239" t="s">
        <v>43</v>
      </c>
      <c r="F239" s="1">
        <v>38176</v>
      </c>
      <c r="G239" s="2">
        <f ca="1">DATEDIF(Query1[[#This Row],[Date of Birth]],TODAY(),"Y")</f>
        <v>21</v>
      </c>
      <c r="H239" t="s">
        <v>130</v>
      </c>
      <c r="I239">
        <v>2022</v>
      </c>
      <c r="J239" t="s">
        <v>54</v>
      </c>
      <c r="K239" t="s">
        <v>135</v>
      </c>
      <c r="N239" t="s">
        <v>577</v>
      </c>
      <c r="O239" t="s">
        <v>137</v>
      </c>
      <c r="P239">
        <v>3</v>
      </c>
      <c r="Q239" t="s">
        <v>89</v>
      </c>
      <c r="R239" t="s">
        <v>90</v>
      </c>
      <c r="S239" t="s">
        <v>29</v>
      </c>
      <c r="T239" t="s">
        <v>30</v>
      </c>
      <c r="U239">
        <v>34</v>
      </c>
      <c r="V239">
        <v>70</v>
      </c>
      <c r="W239">
        <v>34</v>
      </c>
      <c r="X239" s="2">
        <f>AVERAGE(Query1[[#This Row],[Assignment 1 Score]],Query1[[#This Row],[Assignment 2 Score]],Query1[[#This Row],[Midterm Exam Score]])</f>
        <v>46</v>
      </c>
      <c r="Y239" t="str" cm="1">
        <f t="array" ref="Y23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D</v>
      </c>
      <c r="Z239" s="3">
        <f>Query1[[#This Row],[Final Score]]*5/100</f>
        <v>2.2999999999999998</v>
      </c>
      <c r="AA239" s="4">
        <v>0.89300000000000002</v>
      </c>
      <c r="AB239" s="4"/>
      <c r="AC239" s="5">
        <v>11474</v>
      </c>
      <c r="AD239" s="5">
        <v>5000</v>
      </c>
      <c r="AE239" s="5">
        <f>Query1[[#This Row],[Tuition Fee]]-Query1[[#This Row],[Scholarship Amount]]</f>
        <v>6474</v>
      </c>
      <c r="AF239" t="s">
        <v>31</v>
      </c>
    </row>
    <row r="240" spans="1:32" x14ac:dyDescent="0.35">
      <c r="A240" t="s">
        <v>578</v>
      </c>
      <c r="B240" t="s">
        <v>986</v>
      </c>
      <c r="C240" t="s">
        <v>1327</v>
      </c>
      <c r="D240" t="str">
        <f>LEFT(Query1[[#This Row],[First Name]],1) &amp; "." &amp; Query1[[#This Row],[Last Name]] &amp; "@university.edu"</f>
        <v>R.Shopcott@university.edu</v>
      </c>
      <c r="E240" t="s">
        <v>32</v>
      </c>
      <c r="F240" s="1">
        <v>38186</v>
      </c>
      <c r="G240" s="2">
        <f ca="1">DATEDIF(Query1[[#This Row],[Date of Birth]],TODAY(),"Y")</f>
        <v>21</v>
      </c>
      <c r="H240" t="s">
        <v>33</v>
      </c>
      <c r="I240">
        <v>2023</v>
      </c>
      <c r="J240" t="s">
        <v>63</v>
      </c>
      <c r="K240" t="s">
        <v>120</v>
      </c>
      <c r="N240" t="s">
        <v>579</v>
      </c>
      <c r="O240" t="s">
        <v>122</v>
      </c>
      <c r="P240">
        <v>5</v>
      </c>
      <c r="Q240" t="s">
        <v>38</v>
      </c>
      <c r="R240" t="s">
        <v>39</v>
      </c>
      <c r="S240" t="s">
        <v>40</v>
      </c>
      <c r="T240" t="s">
        <v>69</v>
      </c>
      <c r="U240">
        <v>56</v>
      </c>
      <c r="V240">
        <v>80</v>
      </c>
      <c r="W240">
        <v>33</v>
      </c>
      <c r="X240" s="2">
        <f>AVERAGE(Query1[[#This Row],[Assignment 1 Score]],Query1[[#This Row],[Assignment 2 Score]],Query1[[#This Row],[Midterm Exam Score]])</f>
        <v>56.333333333333336</v>
      </c>
      <c r="Y240" t="str" cm="1">
        <f t="array" ref="Y24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40" s="3">
        <f>Query1[[#This Row],[Final Score]]*5/100</f>
        <v>2.8166666666666669</v>
      </c>
      <c r="AA240" s="4">
        <v>0.84474999999999989</v>
      </c>
      <c r="AB240" s="4"/>
      <c r="AC240" s="5">
        <v>15497</v>
      </c>
      <c r="AD240" s="5">
        <v>1000</v>
      </c>
      <c r="AE240" s="5">
        <f>Query1[[#This Row],[Tuition Fee]]-Query1[[#This Row],[Scholarship Amount]]</f>
        <v>14497</v>
      </c>
      <c r="AF240" t="s">
        <v>31</v>
      </c>
    </row>
    <row r="241" spans="1:32" x14ac:dyDescent="0.35">
      <c r="A241" t="s">
        <v>580</v>
      </c>
      <c r="B241" t="s">
        <v>987</v>
      </c>
      <c r="C241" t="s">
        <v>1328</v>
      </c>
      <c r="D241" t="str">
        <f>LEFT(Query1[[#This Row],[First Name]],1) &amp; "." &amp; Query1[[#This Row],[Last Name]] &amp; "@university.edu"</f>
        <v>N.Crannage@university.edu</v>
      </c>
      <c r="E241" t="s">
        <v>43</v>
      </c>
      <c r="F241" s="1">
        <v>38196</v>
      </c>
      <c r="G241" s="2">
        <f ca="1">DATEDIF(Query1[[#This Row],[Date of Birth]],TODAY(),"Y")</f>
        <v>21</v>
      </c>
      <c r="H241" t="s">
        <v>44</v>
      </c>
      <c r="I241">
        <v>2019</v>
      </c>
      <c r="J241" t="s">
        <v>72</v>
      </c>
      <c r="K241" t="s">
        <v>73</v>
      </c>
      <c r="N241" t="s">
        <v>581</v>
      </c>
      <c r="O241" t="s">
        <v>75</v>
      </c>
      <c r="P241">
        <v>4</v>
      </c>
      <c r="Q241" t="s">
        <v>49</v>
      </c>
      <c r="R241" t="s">
        <v>50</v>
      </c>
      <c r="S241" t="s">
        <v>29</v>
      </c>
      <c r="T241" t="s">
        <v>78</v>
      </c>
      <c r="U241">
        <v>32</v>
      </c>
      <c r="V241">
        <v>34</v>
      </c>
      <c r="W241">
        <v>31</v>
      </c>
      <c r="X241" s="2">
        <f>AVERAGE(Query1[[#This Row],[Assignment 1 Score]],Query1[[#This Row],[Assignment 2 Score]],Query1[[#This Row],[Midterm Exam Score]])</f>
        <v>32.333333333333336</v>
      </c>
      <c r="Y241" t="str" cm="1">
        <f t="array" ref="Y24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F</v>
      </c>
      <c r="Z241" s="3">
        <f>Query1[[#This Row],[Final Score]]*5/100</f>
        <v>1.6166666666666669</v>
      </c>
      <c r="AA241" s="4">
        <v>0.88099999999999989</v>
      </c>
      <c r="AB241" s="4"/>
      <c r="AC241" s="5">
        <v>12520</v>
      </c>
      <c r="AD241" s="5">
        <v>0</v>
      </c>
      <c r="AE241" s="5">
        <f>Query1[[#This Row],[Tuition Fee]]-Query1[[#This Row],[Scholarship Amount]]</f>
        <v>12520</v>
      </c>
      <c r="AF241" t="s">
        <v>60</v>
      </c>
    </row>
    <row r="242" spans="1:32" x14ac:dyDescent="0.35">
      <c r="A242" t="s">
        <v>582</v>
      </c>
      <c r="B242" t="s">
        <v>988</v>
      </c>
      <c r="C242" t="s">
        <v>1329</v>
      </c>
      <c r="D242" t="str">
        <f>LEFT(Query1[[#This Row],[First Name]],1) &amp; "." &amp; Query1[[#This Row],[Last Name]] &amp; "@university.edu"</f>
        <v>C.Lascelles@university.edu</v>
      </c>
      <c r="E242" t="s">
        <v>32</v>
      </c>
      <c r="F242" s="1">
        <v>38206</v>
      </c>
      <c r="G242" s="2">
        <f ca="1">DATEDIF(Query1[[#This Row],[Date of Birth]],TODAY(),"Y")</f>
        <v>21</v>
      </c>
      <c r="H242" t="s">
        <v>53</v>
      </c>
      <c r="I242">
        <v>2020</v>
      </c>
      <c r="J242" t="s">
        <v>34</v>
      </c>
      <c r="K242" t="s">
        <v>35</v>
      </c>
      <c r="N242" t="s">
        <v>583</v>
      </c>
      <c r="O242" t="s">
        <v>37</v>
      </c>
      <c r="P242">
        <v>3</v>
      </c>
      <c r="Q242" t="s">
        <v>58</v>
      </c>
      <c r="R242" t="s">
        <v>59</v>
      </c>
      <c r="S242" t="s">
        <v>40</v>
      </c>
      <c r="T242" t="s">
        <v>41</v>
      </c>
      <c r="U242">
        <v>44</v>
      </c>
      <c r="V242">
        <v>56</v>
      </c>
      <c r="W242">
        <v>36</v>
      </c>
      <c r="X242" s="2">
        <f>AVERAGE(Query1[[#This Row],[Assignment 1 Score]],Query1[[#This Row],[Assignment 2 Score]],Query1[[#This Row],[Midterm Exam Score]])</f>
        <v>45.333333333333336</v>
      </c>
      <c r="Y242" t="str" cm="1">
        <f t="array" ref="Y24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E</v>
      </c>
      <c r="Z242" s="3">
        <f>Query1[[#This Row],[Final Score]]*5/100</f>
        <v>2.2666666666666671</v>
      </c>
      <c r="AA242" s="4">
        <v>0.86849999999999994</v>
      </c>
      <c r="AB242" s="4"/>
      <c r="AC242" s="5">
        <v>12043</v>
      </c>
      <c r="AD242" s="5">
        <v>1000</v>
      </c>
      <c r="AE242" s="5">
        <f>Query1[[#This Row],[Tuition Fee]]-Query1[[#This Row],[Scholarship Amount]]</f>
        <v>11043</v>
      </c>
      <c r="AF242" t="s">
        <v>31</v>
      </c>
    </row>
    <row r="243" spans="1:32" x14ac:dyDescent="0.35">
      <c r="A243" t="s">
        <v>584</v>
      </c>
      <c r="B243" t="s">
        <v>989</v>
      </c>
      <c r="C243" t="s">
        <v>1330</v>
      </c>
      <c r="D243" t="str">
        <f>LEFT(Query1[[#This Row],[First Name]],1) &amp; "." &amp; Query1[[#This Row],[Last Name]] &amp; "@university.edu"</f>
        <v>B.Pagan@university.edu</v>
      </c>
      <c r="E243" t="s">
        <v>43</v>
      </c>
      <c r="F243" s="1">
        <v>38216</v>
      </c>
      <c r="G243" s="2">
        <f ca="1">DATEDIF(Query1[[#This Row],[Date of Birth]],TODAY(),"Y")</f>
        <v>21</v>
      </c>
      <c r="H243" t="s">
        <v>62</v>
      </c>
      <c r="I243">
        <v>2021</v>
      </c>
      <c r="J243" t="s">
        <v>45</v>
      </c>
      <c r="K243" t="s">
        <v>46</v>
      </c>
      <c r="N243" t="s">
        <v>585</v>
      </c>
      <c r="O243" t="s">
        <v>48</v>
      </c>
      <c r="P243">
        <v>3</v>
      </c>
      <c r="Q243" t="s">
        <v>67</v>
      </c>
      <c r="R243" t="s">
        <v>68</v>
      </c>
      <c r="S243" t="s">
        <v>29</v>
      </c>
      <c r="T243" t="s">
        <v>51</v>
      </c>
      <c r="U243">
        <v>70</v>
      </c>
      <c r="V243">
        <v>32</v>
      </c>
      <c r="W243">
        <v>76</v>
      </c>
      <c r="X243" s="2">
        <f>AVERAGE(Query1[[#This Row],[Assignment 1 Score]],Query1[[#This Row],[Assignment 2 Score]],Query1[[#This Row],[Midterm Exam Score]])</f>
        <v>59.333333333333336</v>
      </c>
      <c r="Y243" t="str" cm="1">
        <f t="array" ref="Y24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43" s="3">
        <f>Query1[[#This Row],[Final Score]]*5/100</f>
        <v>2.9666666666666668</v>
      </c>
      <c r="AA243" s="4">
        <v>0.90774999999999995</v>
      </c>
      <c r="AB243" s="4"/>
      <c r="AC243" s="5">
        <v>13066</v>
      </c>
      <c r="AD243" s="5">
        <v>1000</v>
      </c>
      <c r="AE243" s="5">
        <f>Query1[[#This Row],[Tuition Fee]]-Query1[[#This Row],[Scholarship Amount]]</f>
        <v>12066</v>
      </c>
      <c r="AF243" t="s">
        <v>31</v>
      </c>
    </row>
    <row r="244" spans="1:32" x14ac:dyDescent="0.35">
      <c r="A244" t="s">
        <v>586</v>
      </c>
      <c r="B244" t="s">
        <v>990</v>
      </c>
      <c r="C244" t="s">
        <v>1331</v>
      </c>
      <c r="D244" t="str">
        <f>LEFT(Query1[[#This Row],[First Name]],1) &amp; "." &amp; Query1[[#This Row],[Last Name]] &amp; "@university.edu"</f>
        <v>F.Rankin@university.edu</v>
      </c>
      <c r="E244" t="s">
        <v>32</v>
      </c>
      <c r="F244" s="1">
        <v>38226</v>
      </c>
      <c r="G244" s="2">
        <f ca="1">DATEDIF(Query1[[#This Row],[Date of Birth]],TODAY(),"Y")</f>
        <v>21</v>
      </c>
      <c r="H244" t="s">
        <v>71</v>
      </c>
      <c r="I244">
        <v>2022</v>
      </c>
      <c r="J244" t="s">
        <v>54</v>
      </c>
      <c r="K244" t="s">
        <v>55</v>
      </c>
      <c r="N244" t="s">
        <v>587</v>
      </c>
      <c r="O244" t="s">
        <v>57</v>
      </c>
      <c r="P244">
        <v>3</v>
      </c>
      <c r="Q244" t="s">
        <v>76</v>
      </c>
      <c r="R244" t="s">
        <v>77</v>
      </c>
      <c r="S244" t="s">
        <v>40</v>
      </c>
      <c r="T244" t="s">
        <v>30</v>
      </c>
      <c r="U244">
        <v>80</v>
      </c>
      <c r="V244">
        <v>44</v>
      </c>
      <c r="W244">
        <v>40</v>
      </c>
      <c r="X244" s="2">
        <f>AVERAGE(Query1[[#This Row],[Assignment 1 Score]],Query1[[#This Row],[Assignment 2 Score]],Query1[[#This Row],[Midterm Exam Score]])</f>
        <v>54.666666666666664</v>
      </c>
      <c r="Y244" t="str" cm="1">
        <f t="array" ref="Y24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244" s="3">
        <f>Query1[[#This Row],[Final Score]]*5/100</f>
        <v>2.7333333333333329</v>
      </c>
      <c r="AA244" s="4">
        <v>0.85649999999999993</v>
      </c>
      <c r="AB244" s="4"/>
      <c r="AC244" s="5">
        <v>11089</v>
      </c>
      <c r="AD244" s="5">
        <v>2000</v>
      </c>
      <c r="AE244" s="5">
        <f>Query1[[#This Row],[Tuition Fee]]-Query1[[#This Row],[Scholarship Amount]]</f>
        <v>9089</v>
      </c>
      <c r="AF244" t="s">
        <v>60</v>
      </c>
    </row>
    <row r="245" spans="1:32" x14ac:dyDescent="0.35">
      <c r="A245" t="s">
        <v>588</v>
      </c>
      <c r="B245" t="s">
        <v>929</v>
      </c>
      <c r="C245" t="s">
        <v>1332</v>
      </c>
      <c r="D245" t="str">
        <f>LEFT(Query1[[#This Row],[First Name]],1) &amp; "." &amp; Query1[[#This Row],[Last Name]] &amp; "@university.edu"</f>
        <v>K.Dreghorn@university.edu</v>
      </c>
      <c r="E245" t="s">
        <v>43</v>
      </c>
      <c r="F245" s="1">
        <v>38236</v>
      </c>
      <c r="G245" s="2">
        <f ca="1">DATEDIF(Query1[[#This Row],[Date of Birth]],TODAY(),"Y")</f>
        <v>21</v>
      </c>
      <c r="H245" t="s">
        <v>80</v>
      </c>
      <c r="I245">
        <v>2023</v>
      </c>
      <c r="J245" t="s">
        <v>63</v>
      </c>
      <c r="K245" t="s">
        <v>64</v>
      </c>
      <c r="N245" t="s">
        <v>589</v>
      </c>
      <c r="O245" t="s">
        <v>66</v>
      </c>
      <c r="P245">
        <v>5</v>
      </c>
      <c r="Q245" t="s">
        <v>82</v>
      </c>
      <c r="R245" t="s">
        <v>83</v>
      </c>
      <c r="S245" t="s">
        <v>29</v>
      </c>
      <c r="T245" t="s">
        <v>69</v>
      </c>
      <c r="U245">
        <v>34</v>
      </c>
      <c r="V245">
        <v>70</v>
      </c>
      <c r="W245">
        <v>34</v>
      </c>
      <c r="X245" s="2">
        <f>AVERAGE(Query1[[#This Row],[Assignment 1 Score]],Query1[[#This Row],[Assignment 2 Score]],Query1[[#This Row],[Midterm Exam Score]])</f>
        <v>46</v>
      </c>
      <c r="Y245" t="str" cm="1">
        <f t="array" ref="Y24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D</v>
      </c>
      <c r="Z245" s="3">
        <f>Query1[[#This Row],[Final Score]]*5/100</f>
        <v>2.2999999999999998</v>
      </c>
      <c r="AA245" s="4">
        <v>0.89949999999999997</v>
      </c>
      <c r="AB245" s="4"/>
      <c r="AC245" s="5">
        <v>15112</v>
      </c>
      <c r="AD245" s="5">
        <v>0</v>
      </c>
      <c r="AE245" s="5">
        <f>Query1[[#This Row],[Tuition Fee]]-Query1[[#This Row],[Scholarship Amount]]</f>
        <v>15112</v>
      </c>
      <c r="AF245" t="s">
        <v>31</v>
      </c>
    </row>
    <row r="246" spans="1:32" x14ac:dyDescent="0.35">
      <c r="A246" t="s">
        <v>590</v>
      </c>
      <c r="B246" t="s">
        <v>991</v>
      </c>
      <c r="C246" t="s">
        <v>1333</v>
      </c>
      <c r="D246" t="str">
        <f>LEFT(Query1[[#This Row],[First Name]],1) &amp; "." &amp; Query1[[#This Row],[Last Name]] &amp; "@university.edu"</f>
        <v>I.Stansbury@university.edu</v>
      </c>
      <c r="E246" t="s">
        <v>32</v>
      </c>
      <c r="F246" s="1">
        <v>38246</v>
      </c>
      <c r="G246" s="2">
        <f ca="1">DATEDIF(Query1[[#This Row],[Date of Birth]],TODAY(),"Y")</f>
        <v>21</v>
      </c>
      <c r="H246" t="s">
        <v>85</v>
      </c>
      <c r="I246">
        <v>2019</v>
      </c>
      <c r="J246" t="s">
        <v>72</v>
      </c>
      <c r="K246" t="s">
        <v>73</v>
      </c>
      <c r="N246" t="s">
        <v>591</v>
      </c>
      <c r="O246" t="s">
        <v>75</v>
      </c>
      <c r="P246">
        <v>4</v>
      </c>
      <c r="Q246" t="s">
        <v>89</v>
      </c>
      <c r="R246" t="s">
        <v>90</v>
      </c>
      <c r="S246" t="s">
        <v>40</v>
      </c>
      <c r="T246" t="s">
        <v>78</v>
      </c>
      <c r="U246">
        <v>56</v>
      </c>
      <c r="V246">
        <v>34</v>
      </c>
      <c r="W246">
        <v>56</v>
      </c>
      <c r="X246" s="2">
        <f>AVERAGE(Query1[[#This Row],[Assignment 1 Score]],Query1[[#This Row],[Assignment 2 Score]],Query1[[#This Row],[Midterm Exam Score]])</f>
        <v>48.666666666666664</v>
      </c>
      <c r="Y246" t="str" cm="1">
        <f t="array" ref="Y24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D</v>
      </c>
      <c r="Z246" s="3">
        <f>Query1[[#This Row],[Final Score]]*5/100</f>
        <v>2.4333333333333331</v>
      </c>
      <c r="AA246" s="4">
        <v>0.85124999999999995</v>
      </c>
      <c r="AB246" s="4"/>
      <c r="AC246" s="5">
        <v>12635</v>
      </c>
      <c r="AD246" s="5">
        <v>5000</v>
      </c>
      <c r="AE246" s="5">
        <f>Query1[[#This Row],[Tuition Fee]]-Query1[[#This Row],[Scholarship Amount]]</f>
        <v>7635</v>
      </c>
      <c r="AF246" t="s">
        <v>31</v>
      </c>
    </row>
    <row r="247" spans="1:32" x14ac:dyDescent="0.35">
      <c r="A247" t="s">
        <v>592</v>
      </c>
      <c r="B247" t="s">
        <v>992</v>
      </c>
      <c r="C247" t="s">
        <v>1334</v>
      </c>
      <c r="D247" t="str">
        <f>LEFT(Query1[[#This Row],[First Name]],1) &amp; "." &amp; Query1[[#This Row],[Last Name]] &amp; "@university.edu"</f>
        <v>C.Cricket@university.edu</v>
      </c>
      <c r="E247" t="s">
        <v>43</v>
      </c>
      <c r="F247" s="1">
        <v>38256</v>
      </c>
      <c r="G247" s="2">
        <f ca="1">DATEDIF(Query1[[#This Row],[Date of Birth]],TODAY(),"Y")</f>
        <v>21</v>
      </c>
      <c r="H247" t="s">
        <v>92</v>
      </c>
      <c r="I247">
        <v>2020</v>
      </c>
      <c r="J247" t="s">
        <v>34</v>
      </c>
      <c r="K247" t="s">
        <v>35</v>
      </c>
      <c r="N247" t="s">
        <v>593</v>
      </c>
      <c r="O247" t="s">
        <v>37</v>
      </c>
      <c r="P247">
        <v>3</v>
      </c>
      <c r="Q247" t="s">
        <v>38</v>
      </c>
      <c r="R247" t="s">
        <v>39</v>
      </c>
      <c r="S247" t="s">
        <v>29</v>
      </c>
      <c r="T247" t="s">
        <v>41</v>
      </c>
      <c r="U247">
        <v>32</v>
      </c>
      <c r="V247">
        <v>40</v>
      </c>
      <c r="W247">
        <v>32</v>
      </c>
      <c r="X247" s="2">
        <f>AVERAGE(Query1[[#This Row],[Assignment 1 Score]],Query1[[#This Row],[Assignment 2 Score]],Query1[[#This Row],[Midterm Exam Score]])</f>
        <v>34.666666666666664</v>
      </c>
      <c r="Y247" t="str" cm="1">
        <f t="array" ref="Y24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F</v>
      </c>
      <c r="Z247" s="3">
        <f>Query1[[#This Row],[Final Score]]*5/100</f>
        <v>1.7333333333333332</v>
      </c>
      <c r="AA247" s="4">
        <v>0.67</v>
      </c>
      <c r="AB247" s="4"/>
      <c r="AC247" s="5">
        <v>12158</v>
      </c>
      <c r="AD247" s="5">
        <v>2000</v>
      </c>
      <c r="AE247" s="5">
        <f>Query1[[#This Row],[Tuition Fee]]-Query1[[#This Row],[Scholarship Amount]]</f>
        <v>10158</v>
      </c>
      <c r="AF247" t="s">
        <v>60</v>
      </c>
    </row>
    <row r="248" spans="1:32" x14ac:dyDescent="0.35">
      <c r="A248" t="s">
        <v>594</v>
      </c>
      <c r="B248" t="s">
        <v>993</v>
      </c>
      <c r="C248" t="s">
        <v>1335</v>
      </c>
      <c r="D248" t="str">
        <f>LEFT(Query1[[#This Row],[First Name]],1) &amp; "." &amp; Query1[[#This Row],[Last Name]] &amp; "@university.edu"</f>
        <v>E.Bricket@university.edu</v>
      </c>
      <c r="E248" t="s">
        <v>32</v>
      </c>
      <c r="F248" s="1">
        <v>38266</v>
      </c>
      <c r="G248" s="2">
        <f ca="1">DATEDIF(Query1[[#This Row],[Date of Birth]],TODAY(),"Y")</f>
        <v>21</v>
      </c>
      <c r="H248" t="s">
        <v>97</v>
      </c>
      <c r="I248">
        <v>2021</v>
      </c>
      <c r="J248" t="s">
        <v>45</v>
      </c>
      <c r="K248" t="s">
        <v>86</v>
      </c>
      <c r="N248" t="s">
        <v>595</v>
      </c>
      <c r="O248" t="s">
        <v>88</v>
      </c>
      <c r="P248">
        <v>3</v>
      </c>
      <c r="Q248" t="s">
        <v>49</v>
      </c>
      <c r="R248" t="s">
        <v>50</v>
      </c>
      <c r="S248" t="s">
        <v>40</v>
      </c>
      <c r="T248" t="s">
        <v>51</v>
      </c>
      <c r="U248">
        <v>44</v>
      </c>
      <c r="V248">
        <v>34</v>
      </c>
      <c r="W248">
        <v>44</v>
      </c>
      <c r="X248" s="2">
        <f>AVERAGE(Query1[[#This Row],[Assignment 1 Score]],Query1[[#This Row],[Assignment 2 Score]],Query1[[#This Row],[Midterm Exam Score]])</f>
        <v>40.666666666666664</v>
      </c>
      <c r="Y248" t="str" cm="1">
        <f t="array" ref="Y24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E</v>
      </c>
      <c r="Z248" s="3">
        <f>Query1[[#This Row],[Final Score]]*5/100</f>
        <v>2.0333333333333332</v>
      </c>
      <c r="AA248" s="4">
        <v>0.8</v>
      </c>
      <c r="AB248" s="4"/>
      <c r="AC248" s="5">
        <v>13181</v>
      </c>
      <c r="AD248" s="5">
        <v>1000</v>
      </c>
      <c r="AE248" s="5">
        <f>Query1[[#This Row],[Tuition Fee]]-Query1[[#This Row],[Scholarship Amount]]</f>
        <v>12181</v>
      </c>
      <c r="AF248" t="s">
        <v>31</v>
      </c>
    </row>
    <row r="249" spans="1:32" x14ac:dyDescent="0.35">
      <c r="A249" t="s">
        <v>596</v>
      </c>
      <c r="B249" t="s">
        <v>994</v>
      </c>
      <c r="C249" t="s">
        <v>1336</v>
      </c>
      <c r="D249" t="str">
        <f>LEFT(Query1[[#This Row],[First Name]],1) &amp; "." &amp; Query1[[#This Row],[Last Name]] &amp; "@university.edu"</f>
        <v>D.Whicher@university.edu</v>
      </c>
      <c r="E249" t="s">
        <v>43</v>
      </c>
      <c r="F249" s="1">
        <v>38276</v>
      </c>
      <c r="G249" s="2">
        <f ca="1">DATEDIF(Query1[[#This Row],[Date of Birth]],TODAY(),"Y")</f>
        <v>21</v>
      </c>
      <c r="H249" t="s">
        <v>102</v>
      </c>
      <c r="I249">
        <v>2022</v>
      </c>
      <c r="J249" t="s">
        <v>54</v>
      </c>
      <c r="K249" t="s">
        <v>93</v>
      </c>
      <c r="N249" t="s">
        <v>597</v>
      </c>
      <c r="O249" t="s">
        <v>95</v>
      </c>
      <c r="P249">
        <v>3</v>
      </c>
      <c r="Q249" t="s">
        <v>58</v>
      </c>
      <c r="R249" t="s">
        <v>59</v>
      </c>
      <c r="S249" t="s">
        <v>29</v>
      </c>
      <c r="T249" t="s">
        <v>30</v>
      </c>
      <c r="U249">
        <v>70</v>
      </c>
      <c r="V249">
        <v>56</v>
      </c>
      <c r="W249">
        <v>70</v>
      </c>
      <c r="X249" s="2">
        <f>AVERAGE(Query1[[#This Row],[Assignment 1 Score]],Query1[[#This Row],[Assignment 2 Score]],Query1[[#This Row],[Midterm Exam Score]])</f>
        <v>65.333333333333329</v>
      </c>
      <c r="Y249" t="str" cm="1">
        <f t="array" ref="Y24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249" s="3">
        <f>Query1[[#This Row],[Final Score]]*5/100</f>
        <v>3.2666666666666662</v>
      </c>
      <c r="AA249" s="4">
        <v>0.59</v>
      </c>
      <c r="AB249" s="4"/>
      <c r="AC249" s="5">
        <v>11204</v>
      </c>
      <c r="AD249" s="5">
        <v>0</v>
      </c>
      <c r="AE249" s="5">
        <f>Query1[[#This Row],[Tuition Fee]]-Query1[[#This Row],[Scholarship Amount]]</f>
        <v>11204</v>
      </c>
      <c r="AF249" t="s">
        <v>31</v>
      </c>
    </row>
    <row r="250" spans="1:32" x14ac:dyDescent="0.35">
      <c r="A250" t="s">
        <v>598</v>
      </c>
      <c r="B250" t="s">
        <v>995</v>
      </c>
      <c r="C250" t="s">
        <v>1337</v>
      </c>
      <c r="D250" t="str">
        <f>LEFT(Query1[[#This Row],[First Name]],1) &amp; "." &amp; Query1[[#This Row],[Last Name]] &amp; "@university.edu"</f>
        <v>P.Hadwin@university.edu</v>
      </c>
      <c r="E250" t="s">
        <v>32</v>
      </c>
      <c r="F250" s="1">
        <v>38286</v>
      </c>
      <c r="G250" s="2">
        <f ca="1">DATEDIF(Query1[[#This Row],[Date of Birth]],TODAY(),"Y")</f>
        <v>21</v>
      </c>
      <c r="H250" t="s">
        <v>105</v>
      </c>
      <c r="I250">
        <v>2023</v>
      </c>
      <c r="J250" t="s">
        <v>63</v>
      </c>
      <c r="K250" t="s">
        <v>98</v>
      </c>
      <c r="N250" t="s">
        <v>599</v>
      </c>
      <c r="O250" t="s">
        <v>100</v>
      </c>
      <c r="P250">
        <v>5</v>
      </c>
      <c r="Q250" t="s">
        <v>67</v>
      </c>
      <c r="R250" t="s">
        <v>68</v>
      </c>
      <c r="S250" t="s">
        <v>40</v>
      </c>
      <c r="T250" t="s">
        <v>69</v>
      </c>
      <c r="U250">
        <v>34</v>
      </c>
      <c r="V250">
        <v>32</v>
      </c>
      <c r="W250">
        <v>50</v>
      </c>
      <c r="X250" s="2">
        <f>AVERAGE(Query1[[#This Row],[Assignment 1 Score]],Query1[[#This Row],[Assignment 2 Score]],Query1[[#This Row],[Midterm Exam Score]])</f>
        <v>38.666666666666664</v>
      </c>
      <c r="Y250" t="str" cm="1">
        <f t="array" ref="Y25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F</v>
      </c>
      <c r="Z250" s="3">
        <f>Query1[[#This Row],[Final Score]]*5/100</f>
        <v>1.9333333333333331</v>
      </c>
      <c r="AA250" s="4">
        <v>0.57999999999999996</v>
      </c>
      <c r="AB250" s="4"/>
      <c r="AC250" s="5">
        <v>15227</v>
      </c>
      <c r="AD250" s="5">
        <v>2000</v>
      </c>
      <c r="AE250" s="5">
        <f>Query1[[#This Row],[Tuition Fee]]-Query1[[#This Row],[Scholarship Amount]]</f>
        <v>13227</v>
      </c>
      <c r="AF250" t="s">
        <v>60</v>
      </c>
    </row>
    <row r="251" spans="1:32" x14ac:dyDescent="0.35">
      <c r="A251" t="s">
        <v>600</v>
      </c>
      <c r="B251" t="s">
        <v>996</v>
      </c>
      <c r="C251" t="s">
        <v>1338</v>
      </c>
      <c r="D251" t="str">
        <f>LEFT(Query1[[#This Row],[First Name]],1) &amp; "." &amp; Query1[[#This Row],[Last Name]] &amp; "@university.edu"</f>
        <v>S.Silbermann@university.edu</v>
      </c>
      <c r="E251" t="s">
        <v>43</v>
      </c>
      <c r="F251" s="1">
        <v>38296</v>
      </c>
      <c r="G251" s="2">
        <f ca="1">DATEDIF(Query1[[#This Row],[Date of Birth]],TODAY(),"Y")</f>
        <v>21</v>
      </c>
      <c r="H251" t="s">
        <v>108</v>
      </c>
      <c r="I251">
        <v>2019</v>
      </c>
      <c r="J251" t="s">
        <v>72</v>
      </c>
      <c r="K251" t="s">
        <v>73</v>
      </c>
      <c r="N251" t="s">
        <v>601</v>
      </c>
      <c r="O251" t="s">
        <v>75</v>
      </c>
      <c r="P251">
        <v>4</v>
      </c>
      <c r="Q251" t="s">
        <v>76</v>
      </c>
      <c r="R251" t="s">
        <v>77</v>
      </c>
      <c r="S251" t="s">
        <v>29</v>
      </c>
      <c r="T251" t="s">
        <v>78</v>
      </c>
      <c r="U251">
        <v>40</v>
      </c>
      <c r="V251">
        <v>44</v>
      </c>
      <c r="W251">
        <v>60</v>
      </c>
      <c r="X251" s="2">
        <f>AVERAGE(Query1[[#This Row],[Assignment 1 Score]],Query1[[#This Row],[Assignment 2 Score]],Query1[[#This Row],[Midterm Exam Score]])</f>
        <v>48</v>
      </c>
      <c r="Y251" t="str" cm="1">
        <f t="array" ref="Y25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D</v>
      </c>
      <c r="Z251" s="3">
        <f>Query1[[#This Row],[Final Score]]*5/100</f>
        <v>2.4</v>
      </c>
      <c r="AA251" s="4">
        <v>0.71</v>
      </c>
      <c r="AB251" s="4"/>
      <c r="AC251" s="5">
        <v>12750</v>
      </c>
      <c r="AD251" s="5">
        <v>1000</v>
      </c>
      <c r="AE251" s="5">
        <f>Query1[[#This Row],[Tuition Fee]]-Query1[[#This Row],[Scholarship Amount]]</f>
        <v>11750</v>
      </c>
      <c r="AF251" t="s">
        <v>31</v>
      </c>
    </row>
    <row r="252" spans="1:32" x14ac:dyDescent="0.35">
      <c r="A252" t="s">
        <v>602</v>
      </c>
      <c r="B252" t="s">
        <v>997</v>
      </c>
      <c r="C252" t="s">
        <v>1339</v>
      </c>
      <c r="D252" t="str">
        <f>LEFT(Query1[[#This Row],[First Name]],1) &amp; "." &amp; Query1[[#This Row],[Last Name]] &amp; "@university.edu"</f>
        <v>Z.Stucksbury@university.edu</v>
      </c>
      <c r="E252" t="s">
        <v>32</v>
      </c>
      <c r="F252" s="1">
        <v>38306</v>
      </c>
      <c r="G252" s="2">
        <f ca="1">DATEDIF(Query1[[#This Row],[Date of Birth]],TODAY(),"Y")</f>
        <v>21</v>
      </c>
      <c r="H252" t="s">
        <v>113</v>
      </c>
      <c r="I252">
        <v>2020</v>
      </c>
      <c r="J252" t="s">
        <v>34</v>
      </c>
      <c r="K252" t="s">
        <v>35</v>
      </c>
      <c r="N252" t="s">
        <v>603</v>
      </c>
      <c r="O252" t="s">
        <v>37</v>
      </c>
      <c r="P252">
        <v>3</v>
      </c>
      <c r="Q252" t="s">
        <v>82</v>
      </c>
      <c r="R252" t="s">
        <v>83</v>
      </c>
      <c r="S252" t="s">
        <v>40</v>
      </c>
      <c r="T252" t="s">
        <v>41</v>
      </c>
      <c r="U252">
        <v>34</v>
      </c>
      <c r="V252">
        <v>70</v>
      </c>
      <c r="W252">
        <v>41</v>
      </c>
      <c r="X252" s="2">
        <f>AVERAGE(Query1[[#This Row],[Assignment 1 Score]],Query1[[#This Row],[Assignment 2 Score]],Query1[[#This Row],[Midterm Exam Score]])</f>
        <v>48.333333333333336</v>
      </c>
      <c r="Y252" t="str" cm="1">
        <f t="array" ref="Y25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D</v>
      </c>
      <c r="Z252" s="3">
        <f>Query1[[#This Row],[Final Score]]*5/100</f>
        <v>2.416666666666667</v>
      </c>
      <c r="AA252" s="4">
        <v>0.6</v>
      </c>
      <c r="AB252" s="4"/>
      <c r="AC252" s="5">
        <v>12273</v>
      </c>
      <c r="AD252" s="5">
        <v>1000</v>
      </c>
      <c r="AE252" s="5">
        <f>Query1[[#This Row],[Tuition Fee]]-Query1[[#This Row],[Scholarship Amount]]</f>
        <v>11273</v>
      </c>
      <c r="AF252" t="s">
        <v>31</v>
      </c>
    </row>
    <row r="253" spans="1:32" x14ac:dyDescent="0.35">
      <c r="A253" t="s">
        <v>604</v>
      </c>
      <c r="B253" t="s">
        <v>998</v>
      </c>
      <c r="C253" t="s">
        <v>1340</v>
      </c>
      <c r="D253" t="str">
        <f>LEFT(Query1[[#This Row],[First Name]],1) &amp; "." &amp; Query1[[#This Row],[Last Name]] &amp; "@university.edu"</f>
        <v>R.Ayree@university.edu</v>
      </c>
      <c r="E253" t="s">
        <v>43</v>
      </c>
      <c r="F253" s="1">
        <v>38316</v>
      </c>
      <c r="G253" s="2">
        <f ca="1">DATEDIF(Query1[[#This Row],[Date of Birth]],TODAY(),"Y")</f>
        <v>20</v>
      </c>
      <c r="H253" t="s">
        <v>119</v>
      </c>
      <c r="I253">
        <v>2021</v>
      </c>
      <c r="J253" t="s">
        <v>45</v>
      </c>
      <c r="K253" t="s">
        <v>109</v>
      </c>
      <c r="N253" t="s">
        <v>605</v>
      </c>
      <c r="O253" t="s">
        <v>111</v>
      </c>
      <c r="P253">
        <v>3</v>
      </c>
      <c r="Q253" t="s">
        <v>89</v>
      </c>
      <c r="R253" t="s">
        <v>90</v>
      </c>
      <c r="S253" t="s">
        <v>29</v>
      </c>
      <c r="T253" t="s">
        <v>51</v>
      </c>
      <c r="U253">
        <v>56</v>
      </c>
      <c r="V253">
        <v>50</v>
      </c>
      <c r="W253">
        <v>38</v>
      </c>
      <c r="X253" s="2">
        <f>AVERAGE(Query1[[#This Row],[Assignment 1 Score]],Query1[[#This Row],[Assignment 2 Score]],Query1[[#This Row],[Midterm Exam Score]])</f>
        <v>48</v>
      </c>
      <c r="Y253" t="str" cm="1">
        <f t="array" ref="Y25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D</v>
      </c>
      <c r="Z253" s="3">
        <f>Query1[[#This Row],[Final Score]]*5/100</f>
        <v>2.4</v>
      </c>
      <c r="AA253" s="4">
        <v>0.69</v>
      </c>
      <c r="AB253" s="4"/>
      <c r="AC253" s="5">
        <v>13296</v>
      </c>
      <c r="AD253" s="5">
        <v>0</v>
      </c>
      <c r="AE253" s="5">
        <f>Query1[[#This Row],[Tuition Fee]]-Query1[[#This Row],[Scholarship Amount]]</f>
        <v>13296</v>
      </c>
      <c r="AF253" t="s">
        <v>60</v>
      </c>
    </row>
    <row r="254" spans="1:32" x14ac:dyDescent="0.35">
      <c r="A254" t="s">
        <v>606</v>
      </c>
      <c r="B254" t="s">
        <v>999</v>
      </c>
      <c r="C254" t="s">
        <v>1341</v>
      </c>
      <c r="D254" t="str">
        <f>LEFT(Query1[[#This Row],[First Name]],1) &amp; "." &amp; Query1[[#This Row],[Last Name]] &amp; "@university.edu"</f>
        <v>G.Wiltshear@university.edu</v>
      </c>
      <c r="E254" t="s">
        <v>32</v>
      </c>
      <c r="F254" s="1">
        <v>38326</v>
      </c>
      <c r="G254" s="2">
        <f ca="1">DATEDIF(Query1[[#This Row],[Date of Birth]],TODAY(),"Y")</f>
        <v>20</v>
      </c>
      <c r="H254" t="s">
        <v>124</v>
      </c>
      <c r="I254">
        <v>2022</v>
      </c>
      <c r="J254" t="s">
        <v>54</v>
      </c>
      <c r="K254" t="s">
        <v>114</v>
      </c>
      <c r="N254" t="s">
        <v>607</v>
      </c>
      <c r="O254" t="s">
        <v>116</v>
      </c>
      <c r="P254">
        <v>3</v>
      </c>
      <c r="Q254" t="s">
        <v>38</v>
      </c>
      <c r="R254" t="s">
        <v>39</v>
      </c>
      <c r="S254" t="s">
        <v>40</v>
      </c>
      <c r="T254" t="s">
        <v>30</v>
      </c>
      <c r="U254">
        <v>32</v>
      </c>
      <c r="V254">
        <v>60</v>
      </c>
      <c r="W254">
        <v>59</v>
      </c>
      <c r="X254" s="2">
        <f>AVERAGE(Query1[[#This Row],[Assignment 1 Score]],Query1[[#This Row],[Assignment 2 Score]],Query1[[#This Row],[Midterm Exam Score]])</f>
        <v>50.333333333333336</v>
      </c>
      <c r="Y254" t="str" cm="1">
        <f t="array" ref="Y25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254" s="3">
        <f>Query1[[#This Row],[Final Score]]*5/100</f>
        <v>2.5166666666666671</v>
      </c>
      <c r="AA254" s="4">
        <v>0.92524999999999991</v>
      </c>
      <c r="AB254" s="4"/>
      <c r="AC254" s="5">
        <v>11319</v>
      </c>
      <c r="AD254" s="5">
        <v>1000</v>
      </c>
      <c r="AE254" s="5">
        <f>Query1[[#This Row],[Tuition Fee]]-Query1[[#This Row],[Scholarship Amount]]</f>
        <v>10319</v>
      </c>
      <c r="AF254" t="s">
        <v>31</v>
      </c>
    </row>
    <row r="255" spans="1:32" x14ac:dyDescent="0.35">
      <c r="A255" t="s">
        <v>608</v>
      </c>
      <c r="B255" t="s">
        <v>1000</v>
      </c>
      <c r="C255" t="s">
        <v>1342</v>
      </c>
      <c r="D255" t="str">
        <f>LEFT(Query1[[#This Row],[First Name]],1) &amp; "." &amp; Query1[[#This Row],[Last Name]] &amp; "@university.edu"</f>
        <v>L.Stuer@university.edu</v>
      </c>
      <c r="E255" t="s">
        <v>43</v>
      </c>
      <c r="F255" s="1">
        <v>38336</v>
      </c>
      <c r="G255" s="2">
        <f ca="1">DATEDIF(Query1[[#This Row],[Date of Birth]],TODAY(),"Y")</f>
        <v>20</v>
      </c>
      <c r="H255" t="s">
        <v>127</v>
      </c>
      <c r="I255">
        <v>2023</v>
      </c>
      <c r="J255" t="s">
        <v>63</v>
      </c>
      <c r="K255" t="s">
        <v>120</v>
      </c>
      <c r="N255" t="s">
        <v>609</v>
      </c>
      <c r="O255" t="s">
        <v>122</v>
      </c>
      <c r="P255">
        <v>5</v>
      </c>
      <c r="Q255" t="s">
        <v>49</v>
      </c>
      <c r="R255" t="s">
        <v>50</v>
      </c>
      <c r="S255" t="s">
        <v>29</v>
      </c>
      <c r="T255" t="s">
        <v>69</v>
      </c>
      <c r="U255">
        <v>44</v>
      </c>
      <c r="V255">
        <v>72</v>
      </c>
      <c r="W255">
        <v>59</v>
      </c>
      <c r="X255" s="2">
        <f>AVERAGE(Query1[[#This Row],[Assignment 1 Score]],Query1[[#This Row],[Assignment 2 Score]],Query1[[#This Row],[Midterm Exam Score]])</f>
        <v>58.333333333333336</v>
      </c>
      <c r="Y255" t="str" cm="1">
        <f t="array" ref="Y25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55" s="3">
        <f>Query1[[#This Row],[Final Score]]*5/100</f>
        <v>2.916666666666667</v>
      </c>
      <c r="AA255" s="4">
        <v>0.87774999999999992</v>
      </c>
      <c r="AB255" s="4"/>
      <c r="AC255" s="5">
        <v>15342</v>
      </c>
      <c r="AD255" s="5">
        <v>1000</v>
      </c>
      <c r="AE255" s="5">
        <f>Query1[[#This Row],[Tuition Fee]]-Query1[[#This Row],[Scholarship Amount]]</f>
        <v>14342</v>
      </c>
      <c r="AF255" t="s">
        <v>31</v>
      </c>
    </row>
    <row r="256" spans="1:32" x14ac:dyDescent="0.35">
      <c r="A256" t="s">
        <v>610</v>
      </c>
      <c r="B256" t="s">
        <v>1001</v>
      </c>
      <c r="C256" t="s">
        <v>1343</v>
      </c>
      <c r="D256" t="str">
        <f>LEFT(Query1[[#This Row],[First Name]],1) &amp; "." &amp; Query1[[#This Row],[Last Name]] &amp; "@university.edu"</f>
        <v>R.Pirkis@university.edu</v>
      </c>
      <c r="E256" t="s">
        <v>32</v>
      </c>
      <c r="F256" s="1">
        <v>38346</v>
      </c>
      <c r="G256" s="2">
        <f ca="1">DATEDIF(Query1[[#This Row],[Date of Birth]],TODAY(),"Y")</f>
        <v>20</v>
      </c>
      <c r="H256" t="s">
        <v>130</v>
      </c>
      <c r="I256">
        <v>2019</v>
      </c>
      <c r="J256" t="s">
        <v>72</v>
      </c>
      <c r="K256" t="s">
        <v>73</v>
      </c>
      <c r="N256" t="s">
        <v>611</v>
      </c>
      <c r="O256" t="s">
        <v>75</v>
      </c>
      <c r="P256">
        <v>4</v>
      </c>
      <c r="Q256" t="s">
        <v>58</v>
      </c>
      <c r="R256" t="s">
        <v>59</v>
      </c>
      <c r="S256" t="s">
        <v>40</v>
      </c>
      <c r="T256" t="s">
        <v>78</v>
      </c>
      <c r="U256">
        <v>70</v>
      </c>
      <c r="V256">
        <v>92</v>
      </c>
      <c r="W256">
        <v>40</v>
      </c>
      <c r="X256" s="2">
        <f>AVERAGE(Query1[[#This Row],[Assignment 1 Score]],Query1[[#This Row],[Assignment 2 Score]],Query1[[#This Row],[Midterm Exam Score]])</f>
        <v>67.333333333333329</v>
      </c>
      <c r="Y256" t="str" cm="1">
        <f t="array" ref="Y25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56" s="3">
        <f>Query1[[#This Row],[Final Score]]*5/100</f>
        <v>3.3666666666666663</v>
      </c>
      <c r="AA256" s="4">
        <v>0.91699999999999993</v>
      </c>
      <c r="AB256" s="4"/>
      <c r="AC256" s="5">
        <v>12865</v>
      </c>
      <c r="AD256" s="5">
        <v>2000</v>
      </c>
      <c r="AE256" s="5">
        <f>Query1[[#This Row],[Tuition Fee]]-Query1[[#This Row],[Scholarship Amount]]</f>
        <v>10865</v>
      </c>
      <c r="AF256" t="s">
        <v>60</v>
      </c>
    </row>
    <row r="257" spans="1:32" x14ac:dyDescent="0.35">
      <c r="A257" t="s">
        <v>612</v>
      </c>
      <c r="B257" t="s">
        <v>1002</v>
      </c>
      <c r="C257" t="s">
        <v>1209</v>
      </c>
      <c r="D257" t="str">
        <f>LEFT(Query1[[#This Row],[First Name]],1) &amp; "." &amp; Query1[[#This Row],[Last Name]] &amp; "@university.edu"</f>
        <v>O.Elcock@university.edu</v>
      </c>
      <c r="E257" t="s">
        <v>43</v>
      </c>
      <c r="F257" s="1">
        <v>38356</v>
      </c>
      <c r="G257" s="2">
        <f ca="1">DATEDIF(Query1[[#This Row],[Date of Birth]],TODAY(),"Y")</f>
        <v>20</v>
      </c>
      <c r="H257" t="s">
        <v>33</v>
      </c>
      <c r="I257">
        <v>2020</v>
      </c>
      <c r="J257" t="s">
        <v>34</v>
      </c>
      <c r="K257" t="s">
        <v>35</v>
      </c>
      <c r="N257" t="s">
        <v>613</v>
      </c>
      <c r="O257" t="s">
        <v>37</v>
      </c>
      <c r="P257">
        <v>3</v>
      </c>
      <c r="Q257" t="s">
        <v>67</v>
      </c>
      <c r="R257" t="s">
        <v>68</v>
      </c>
      <c r="S257" t="s">
        <v>29</v>
      </c>
      <c r="T257" t="s">
        <v>41</v>
      </c>
      <c r="U257">
        <v>50</v>
      </c>
      <c r="V257">
        <v>69</v>
      </c>
      <c r="W257">
        <v>34</v>
      </c>
      <c r="X257" s="2">
        <f>AVERAGE(Query1[[#This Row],[Assignment 1 Score]],Query1[[#This Row],[Assignment 2 Score]],Query1[[#This Row],[Midterm Exam Score]])</f>
        <v>51</v>
      </c>
      <c r="Y257" t="str" cm="1">
        <f t="array" ref="Y25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257" s="3">
        <f>Query1[[#This Row],[Final Score]]*5/100</f>
        <v>2.5499999999999998</v>
      </c>
      <c r="AA257" s="4">
        <v>0.86574999999999991</v>
      </c>
      <c r="AB257" s="4"/>
      <c r="AC257" s="5">
        <v>12388</v>
      </c>
      <c r="AD257" s="5">
        <v>0</v>
      </c>
      <c r="AE257" s="5">
        <f>Query1[[#This Row],[Tuition Fee]]-Query1[[#This Row],[Scholarship Amount]]</f>
        <v>12388</v>
      </c>
      <c r="AF257" t="s">
        <v>31</v>
      </c>
    </row>
    <row r="258" spans="1:32" x14ac:dyDescent="0.35">
      <c r="A258" t="s">
        <v>614</v>
      </c>
      <c r="B258" t="s">
        <v>1003</v>
      </c>
      <c r="C258" t="s">
        <v>1344</v>
      </c>
      <c r="D258" t="str">
        <f>LEFT(Query1[[#This Row],[First Name]],1) &amp; "." &amp; Query1[[#This Row],[Last Name]] &amp; "@university.edu"</f>
        <v>H.Hymas@university.edu</v>
      </c>
      <c r="E258" t="s">
        <v>32</v>
      </c>
      <c r="F258" s="1">
        <v>38366</v>
      </c>
      <c r="G258" s="2">
        <f ca="1">DATEDIF(Query1[[#This Row],[Date of Birth]],TODAY(),"Y")</f>
        <v>20</v>
      </c>
      <c r="H258" t="s">
        <v>44</v>
      </c>
      <c r="I258">
        <v>2021</v>
      </c>
      <c r="J258" t="s">
        <v>45</v>
      </c>
      <c r="K258" t="s">
        <v>131</v>
      </c>
      <c r="N258" t="s">
        <v>615</v>
      </c>
      <c r="O258" t="s">
        <v>133</v>
      </c>
      <c r="P258">
        <v>3</v>
      </c>
      <c r="Q258" t="s">
        <v>76</v>
      </c>
      <c r="R258" t="s">
        <v>77</v>
      </c>
      <c r="S258" t="s">
        <v>40</v>
      </c>
      <c r="T258" t="s">
        <v>51</v>
      </c>
      <c r="U258">
        <v>60</v>
      </c>
      <c r="V258">
        <v>89</v>
      </c>
      <c r="W258">
        <v>56</v>
      </c>
      <c r="X258" s="2">
        <f>AVERAGE(Query1[[#This Row],[Assignment 1 Score]],Query1[[#This Row],[Assignment 2 Score]],Query1[[#This Row],[Midterm Exam Score]])</f>
        <v>68.333333333333329</v>
      </c>
      <c r="Y258" t="str" cm="1">
        <f t="array" ref="Y25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58" s="3">
        <f>Query1[[#This Row],[Final Score]]*5/100</f>
        <v>3.4166666666666661</v>
      </c>
      <c r="AA258" s="4">
        <v>0.92074999999999996</v>
      </c>
      <c r="AB258" s="4"/>
      <c r="AC258" s="5">
        <v>13411</v>
      </c>
      <c r="AD258" s="5">
        <v>1000</v>
      </c>
      <c r="AE258" s="5">
        <f>Query1[[#This Row],[Tuition Fee]]-Query1[[#This Row],[Scholarship Amount]]</f>
        <v>12411</v>
      </c>
      <c r="AF258" t="s">
        <v>31</v>
      </c>
    </row>
    <row r="259" spans="1:32" x14ac:dyDescent="0.35">
      <c r="A259" t="s">
        <v>616</v>
      </c>
      <c r="B259" t="s">
        <v>1004</v>
      </c>
      <c r="C259" t="s">
        <v>1345</v>
      </c>
      <c r="D259" t="str">
        <f>LEFT(Query1[[#This Row],[First Name]],1) &amp; "." &amp; Query1[[#This Row],[Last Name]] &amp; "@university.edu"</f>
        <v>R.Dwelling@university.edu</v>
      </c>
      <c r="E259" t="s">
        <v>43</v>
      </c>
      <c r="F259" s="1">
        <v>38376</v>
      </c>
      <c r="G259" s="2">
        <f ca="1">DATEDIF(Query1[[#This Row],[Date of Birth]],TODAY(),"Y")</f>
        <v>20</v>
      </c>
      <c r="H259" t="s">
        <v>53</v>
      </c>
      <c r="I259">
        <v>2022</v>
      </c>
      <c r="J259" t="s">
        <v>54</v>
      </c>
      <c r="K259" t="s">
        <v>135</v>
      </c>
      <c r="N259" t="s">
        <v>617</v>
      </c>
      <c r="O259" t="s">
        <v>137</v>
      </c>
      <c r="P259">
        <v>3</v>
      </c>
      <c r="Q259" t="s">
        <v>82</v>
      </c>
      <c r="R259" t="s">
        <v>83</v>
      </c>
      <c r="S259" t="s">
        <v>29</v>
      </c>
      <c r="T259" t="s">
        <v>30</v>
      </c>
      <c r="U259">
        <v>72</v>
      </c>
      <c r="V259">
        <v>74</v>
      </c>
      <c r="W259">
        <v>32</v>
      </c>
      <c r="X259" s="2">
        <f>AVERAGE(Query1[[#This Row],[Assignment 1 Score]],Query1[[#This Row],[Assignment 2 Score]],Query1[[#This Row],[Midterm Exam Score]])</f>
        <v>59.333333333333336</v>
      </c>
      <c r="Y259" t="str" cm="1">
        <f t="array" ref="Y25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59" s="3">
        <f>Query1[[#This Row],[Final Score]]*5/100</f>
        <v>2.9666666666666668</v>
      </c>
      <c r="AA259" s="4">
        <v>0.87249999999999994</v>
      </c>
      <c r="AB259" s="4"/>
      <c r="AC259" s="5">
        <v>11434</v>
      </c>
      <c r="AD259" s="5">
        <v>2000</v>
      </c>
      <c r="AE259" s="5">
        <f>Query1[[#This Row],[Tuition Fee]]-Query1[[#This Row],[Scholarship Amount]]</f>
        <v>9434</v>
      </c>
      <c r="AF259" t="s">
        <v>60</v>
      </c>
    </row>
    <row r="260" spans="1:32" x14ac:dyDescent="0.35">
      <c r="A260" t="s">
        <v>618</v>
      </c>
      <c r="B260" t="s">
        <v>1005</v>
      </c>
      <c r="C260" t="s">
        <v>1346</v>
      </c>
      <c r="D260" t="str">
        <f>LEFT(Query1[[#This Row],[First Name]],1) &amp; "." &amp; Query1[[#This Row],[Last Name]] &amp; "@university.edu"</f>
        <v>H.Janiak@university.edu</v>
      </c>
      <c r="E260" t="s">
        <v>32</v>
      </c>
      <c r="F260" s="1">
        <v>38386</v>
      </c>
      <c r="G260" s="2">
        <f ca="1">DATEDIF(Query1[[#This Row],[Date of Birth]],TODAY(),"Y")</f>
        <v>20</v>
      </c>
      <c r="H260" t="s">
        <v>62</v>
      </c>
      <c r="I260">
        <v>2023</v>
      </c>
      <c r="J260" t="s">
        <v>63</v>
      </c>
      <c r="K260" t="s">
        <v>64</v>
      </c>
      <c r="N260" t="s">
        <v>619</v>
      </c>
      <c r="O260" t="s">
        <v>66</v>
      </c>
      <c r="P260">
        <v>5</v>
      </c>
      <c r="Q260" t="s">
        <v>89</v>
      </c>
      <c r="R260" t="s">
        <v>90</v>
      </c>
      <c r="S260" t="s">
        <v>40</v>
      </c>
      <c r="T260" t="s">
        <v>69</v>
      </c>
      <c r="U260">
        <v>86</v>
      </c>
      <c r="V260">
        <v>86</v>
      </c>
      <c r="W260">
        <v>44</v>
      </c>
      <c r="X260" s="2">
        <f>AVERAGE(Query1[[#This Row],[Assignment 1 Score]],Query1[[#This Row],[Assignment 2 Score]],Query1[[#This Row],[Midterm Exam Score]])</f>
        <v>72</v>
      </c>
      <c r="Y260" t="str" cm="1">
        <f t="array" ref="Y26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260" s="3">
        <f>Query1[[#This Row],[Final Score]]*5/100</f>
        <v>3.6</v>
      </c>
      <c r="AA260" s="4">
        <v>0.90874999999999995</v>
      </c>
      <c r="AB260" s="4"/>
      <c r="AC260" s="5">
        <v>15457</v>
      </c>
      <c r="AD260" s="5">
        <v>5000</v>
      </c>
      <c r="AE260" s="5">
        <f>Query1[[#This Row],[Tuition Fee]]-Query1[[#This Row],[Scholarship Amount]]</f>
        <v>10457</v>
      </c>
      <c r="AF260" t="s">
        <v>31</v>
      </c>
    </row>
    <row r="261" spans="1:32" x14ac:dyDescent="0.35">
      <c r="A261" t="s">
        <v>620</v>
      </c>
      <c r="B261" t="s">
        <v>1006</v>
      </c>
      <c r="C261" t="s">
        <v>1347</v>
      </c>
      <c r="D261" t="str">
        <f>LEFT(Query1[[#This Row],[First Name]],1) &amp; "." &amp; Query1[[#This Row],[Last Name]] &amp; "@university.edu"</f>
        <v>B.Pury@university.edu</v>
      </c>
      <c r="E261" t="s">
        <v>43</v>
      </c>
      <c r="F261" s="1">
        <v>38396</v>
      </c>
      <c r="G261" s="2">
        <f ca="1">DATEDIF(Query1[[#This Row],[Date of Birth]],TODAY(),"Y")</f>
        <v>20</v>
      </c>
      <c r="H261" t="s">
        <v>71</v>
      </c>
      <c r="I261">
        <v>2019</v>
      </c>
      <c r="J261" t="s">
        <v>72</v>
      </c>
      <c r="K261" t="s">
        <v>73</v>
      </c>
      <c r="N261" t="s">
        <v>621</v>
      </c>
      <c r="O261" t="s">
        <v>75</v>
      </c>
      <c r="P261">
        <v>4</v>
      </c>
      <c r="Q261" t="s">
        <v>38</v>
      </c>
      <c r="R261" t="s">
        <v>39</v>
      </c>
      <c r="S261" t="s">
        <v>29</v>
      </c>
      <c r="T261" t="s">
        <v>78</v>
      </c>
      <c r="U261">
        <v>65</v>
      </c>
      <c r="V261">
        <v>71</v>
      </c>
      <c r="W261">
        <v>70</v>
      </c>
      <c r="X261" s="2">
        <f>AVERAGE(Query1[[#This Row],[Assignment 1 Score]],Query1[[#This Row],[Assignment 2 Score]],Query1[[#This Row],[Midterm Exam Score]])</f>
        <v>68.666666666666671</v>
      </c>
      <c r="Y261" t="str" cm="1">
        <f t="array" ref="Y26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61" s="3">
        <f>Query1[[#This Row],[Final Score]]*5/100</f>
        <v>3.4333333333333336</v>
      </c>
      <c r="AA261" s="4">
        <v>0.86049999999999993</v>
      </c>
      <c r="AB261" s="4"/>
      <c r="AC261" s="5">
        <v>12980</v>
      </c>
      <c r="AD261" s="5">
        <v>0</v>
      </c>
      <c r="AE261" s="5">
        <f>Query1[[#This Row],[Tuition Fee]]-Query1[[#This Row],[Scholarship Amount]]</f>
        <v>12980</v>
      </c>
      <c r="AF261" t="s">
        <v>31</v>
      </c>
    </row>
    <row r="262" spans="1:32" x14ac:dyDescent="0.35">
      <c r="A262" t="s">
        <v>622</v>
      </c>
      <c r="B262" t="s">
        <v>1007</v>
      </c>
      <c r="C262" t="s">
        <v>1348</v>
      </c>
      <c r="D262" t="str">
        <f>LEFT(Query1[[#This Row],[First Name]],1) &amp; "." &amp; Query1[[#This Row],[Last Name]] &amp; "@university.edu"</f>
        <v>R.Widdall@university.edu</v>
      </c>
      <c r="E262" t="s">
        <v>32</v>
      </c>
      <c r="F262" s="1">
        <v>38406</v>
      </c>
      <c r="G262" s="2">
        <f ca="1">DATEDIF(Query1[[#This Row],[Date of Birth]],TODAY(),"Y")</f>
        <v>20</v>
      </c>
      <c r="H262" t="s">
        <v>80</v>
      </c>
      <c r="I262">
        <v>2020</v>
      </c>
      <c r="J262" t="s">
        <v>34</v>
      </c>
      <c r="K262" t="s">
        <v>35</v>
      </c>
      <c r="N262" t="s">
        <v>623</v>
      </c>
      <c r="O262" t="s">
        <v>37</v>
      </c>
      <c r="P262">
        <v>3</v>
      </c>
      <c r="Q262" t="s">
        <v>49</v>
      </c>
      <c r="R262" t="s">
        <v>50</v>
      </c>
      <c r="S262" t="s">
        <v>40</v>
      </c>
      <c r="T262" t="s">
        <v>41</v>
      </c>
      <c r="U262">
        <v>89</v>
      </c>
      <c r="V262">
        <v>91</v>
      </c>
      <c r="W262">
        <v>80</v>
      </c>
      <c r="X262" s="2">
        <f>AVERAGE(Query1[[#This Row],[Assignment 1 Score]],Query1[[#This Row],[Assignment 2 Score]],Query1[[#This Row],[Midterm Exam Score]])</f>
        <v>86.666666666666671</v>
      </c>
      <c r="Y262" t="str" cm="1">
        <f t="array" ref="Y26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262" s="3">
        <f>Query1[[#This Row],[Final Score]]*5/100</f>
        <v>4.3333333333333339</v>
      </c>
      <c r="AA262" s="4">
        <v>0.92349999999999999</v>
      </c>
      <c r="AB262" s="4"/>
      <c r="AC262" s="5">
        <v>12003</v>
      </c>
      <c r="AD262" s="5">
        <v>2000</v>
      </c>
      <c r="AE262" s="5">
        <f>Query1[[#This Row],[Tuition Fee]]-Query1[[#This Row],[Scholarship Amount]]</f>
        <v>10003</v>
      </c>
      <c r="AF262" t="s">
        <v>60</v>
      </c>
    </row>
    <row r="263" spans="1:32" x14ac:dyDescent="0.35">
      <c r="A263" t="s">
        <v>624</v>
      </c>
      <c r="B263" t="s">
        <v>1008</v>
      </c>
      <c r="C263" t="s">
        <v>1349</v>
      </c>
      <c r="D263" t="str">
        <f>LEFT(Query1[[#This Row],[First Name]],1) &amp; "." &amp; Query1[[#This Row],[Last Name]] &amp; "@university.edu"</f>
        <v>M.Leile@university.edu</v>
      </c>
      <c r="E263" t="s">
        <v>43</v>
      </c>
      <c r="F263" s="1">
        <v>38416</v>
      </c>
      <c r="G263" s="2">
        <f ca="1">DATEDIF(Query1[[#This Row],[Date of Birth]],TODAY(),"Y")</f>
        <v>20</v>
      </c>
      <c r="H263" t="s">
        <v>85</v>
      </c>
      <c r="I263">
        <v>2021</v>
      </c>
      <c r="J263" t="s">
        <v>45</v>
      </c>
      <c r="K263" t="s">
        <v>46</v>
      </c>
      <c r="N263" t="s">
        <v>625</v>
      </c>
      <c r="O263" t="s">
        <v>48</v>
      </c>
      <c r="P263">
        <v>3</v>
      </c>
      <c r="Q263" t="s">
        <v>58</v>
      </c>
      <c r="R263" t="s">
        <v>59</v>
      </c>
      <c r="S263" t="s">
        <v>29</v>
      </c>
      <c r="T263" t="s">
        <v>51</v>
      </c>
      <c r="U263">
        <v>68</v>
      </c>
      <c r="V263">
        <v>68</v>
      </c>
      <c r="W263">
        <v>34</v>
      </c>
      <c r="X263" s="2">
        <f>AVERAGE(Query1[[#This Row],[Assignment 1 Score]],Query1[[#This Row],[Assignment 2 Score]],Query1[[#This Row],[Midterm Exam Score]])</f>
        <v>56.666666666666664</v>
      </c>
      <c r="Y263" t="str" cm="1">
        <f t="array" ref="Y26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63" s="3">
        <f>Query1[[#This Row],[Final Score]]*5/100</f>
        <v>2.833333333333333</v>
      </c>
      <c r="AA263" s="4">
        <v>0.88424999999999998</v>
      </c>
      <c r="AB263" s="4"/>
      <c r="AC263" s="5">
        <v>13026</v>
      </c>
      <c r="AD263" s="5">
        <v>1000</v>
      </c>
      <c r="AE263" s="5">
        <f>Query1[[#This Row],[Tuition Fee]]-Query1[[#This Row],[Scholarship Amount]]</f>
        <v>12026</v>
      </c>
      <c r="AF263" t="s">
        <v>31</v>
      </c>
    </row>
    <row r="264" spans="1:32" x14ac:dyDescent="0.35">
      <c r="A264" t="s">
        <v>626</v>
      </c>
      <c r="B264" t="s">
        <v>1009</v>
      </c>
      <c r="C264" t="s">
        <v>1350</v>
      </c>
      <c r="D264" t="str">
        <f>LEFT(Query1[[#This Row],[First Name]],1) &amp; "." &amp; Query1[[#This Row],[Last Name]] &amp; "@university.edu"</f>
        <v>R.Hartlebury@university.edu</v>
      </c>
      <c r="E264" t="s">
        <v>32</v>
      </c>
      <c r="F264" s="1">
        <v>38426</v>
      </c>
      <c r="G264" s="2">
        <f ca="1">DATEDIF(Query1[[#This Row],[Date of Birth]],TODAY(),"Y")</f>
        <v>20</v>
      </c>
      <c r="H264" t="s">
        <v>92</v>
      </c>
      <c r="I264">
        <v>2022</v>
      </c>
      <c r="J264" t="s">
        <v>54</v>
      </c>
      <c r="K264" t="s">
        <v>55</v>
      </c>
      <c r="N264" t="s">
        <v>627</v>
      </c>
      <c r="O264" t="s">
        <v>57</v>
      </c>
      <c r="P264">
        <v>3</v>
      </c>
      <c r="Q264" t="s">
        <v>67</v>
      </c>
      <c r="R264" t="s">
        <v>68</v>
      </c>
      <c r="S264" t="s">
        <v>40</v>
      </c>
      <c r="T264" t="s">
        <v>30</v>
      </c>
      <c r="U264">
        <v>82</v>
      </c>
      <c r="V264">
        <v>88</v>
      </c>
      <c r="W264">
        <v>56</v>
      </c>
      <c r="X264" s="2">
        <f>AVERAGE(Query1[[#This Row],[Assignment 1 Score]],Query1[[#This Row],[Assignment 2 Score]],Query1[[#This Row],[Midterm Exam Score]])</f>
        <v>75.333333333333329</v>
      </c>
      <c r="Y264" t="str" cm="1">
        <f t="array" ref="Y26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264" s="3">
        <f>Query1[[#This Row],[Final Score]]*5/100</f>
        <v>3.7666666666666662</v>
      </c>
      <c r="AA264" s="4">
        <v>0.92349999999999999</v>
      </c>
      <c r="AB264" s="4"/>
      <c r="AC264" s="5">
        <v>11049</v>
      </c>
      <c r="AD264" s="5">
        <v>1000</v>
      </c>
      <c r="AE264" s="5">
        <f>Query1[[#This Row],[Tuition Fee]]-Query1[[#This Row],[Scholarship Amount]]</f>
        <v>10049</v>
      </c>
      <c r="AF264" t="s">
        <v>31</v>
      </c>
    </row>
    <row r="265" spans="1:32" x14ac:dyDescent="0.35">
      <c r="A265" t="s">
        <v>628</v>
      </c>
      <c r="B265" t="s">
        <v>1010</v>
      </c>
      <c r="C265" t="s">
        <v>1351</v>
      </c>
      <c r="D265" t="str">
        <f>LEFT(Query1[[#This Row],[First Name]],1) &amp; "." &amp; Query1[[#This Row],[Last Name]] &amp; "@university.edu"</f>
        <v>K.Canty@university.edu</v>
      </c>
      <c r="E265" t="s">
        <v>43</v>
      </c>
      <c r="F265" s="1">
        <v>38436</v>
      </c>
      <c r="G265" s="2">
        <f ca="1">DATEDIF(Query1[[#This Row],[Date of Birth]],TODAY(),"Y")</f>
        <v>20</v>
      </c>
      <c r="H265" t="s">
        <v>97</v>
      </c>
      <c r="I265">
        <v>2023</v>
      </c>
      <c r="J265" t="s">
        <v>63</v>
      </c>
      <c r="K265" t="s">
        <v>98</v>
      </c>
      <c r="N265" t="s">
        <v>629</v>
      </c>
      <c r="O265" t="s">
        <v>100</v>
      </c>
      <c r="P265">
        <v>5</v>
      </c>
      <c r="Q265" t="s">
        <v>76</v>
      </c>
      <c r="R265" t="s">
        <v>77</v>
      </c>
      <c r="S265" t="s">
        <v>29</v>
      </c>
      <c r="T265" t="s">
        <v>69</v>
      </c>
      <c r="U265">
        <v>71</v>
      </c>
      <c r="V265">
        <v>65</v>
      </c>
      <c r="W265">
        <v>32</v>
      </c>
      <c r="X265" s="2">
        <f>AVERAGE(Query1[[#This Row],[Assignment 1 Score]],Query1[[#This Row],[Assignment 2 Score]],Query1[[#This Row],[Midterm Exam Score]])</f>
        <v>56</v>
      </c>
      <c r="Y265" t="str" cm="1">
        <f t="array" ref="Y26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65" s="3">
        <f>Query1[[#This Row],[Final Score]]*5/100</f>
        <v>2.8</v>
      </c>
      <c r="AA265" s="4">
        <v>0.876</v>
      </c>
      <c r="AB265" s="4"/>
      <c r="AC265" s="5">
        <v>15072</v>
      </c>
      <c r="AD265" s="5">
        <v>0</v>
      </c>
      <c r="AE265" s="5">
        <f>Query1[[#This Row],[Tuition Fee]]-Query1[[#This Row],[Scholarship Amount]]</f>
        <v>15072</v>
      </c>
      <c r="AF265" t="s">
        <v>60</v>
      </c>
    </row>
    <row r="266" spans="1:32" x14ac:dyDescent="0.35">
      <c r="A266" t="s">
        <v>630</v>
      </c>
      <c r="B266" t="s">
        <v>1011</v>
      </c>
      <c r="C266" t="s">
        <v>1352</v>
      </c>
      <c r="D266" t="str">
        <f>LEFT(Query1[[#This Row],[First Name]],1) &amp; "." &amp; Query1[[#This Row],[Last Name]] &amp; "@university.edu"</f>
        <v>D.Allum@university.edu</v>
      </c>
      <c r="E266" t="s">
        <v>32</v>
      </c>
      <c r="F266" s="1">
        <v>38446</v>
      </c>
      <c r="G266" s="2">
        <f ca="1">DATEDIF(Query1[[#This Row],[Date of Birth]],TODAY(),"Y")</f>
        <v>20</v>
      </c>
      <c r="H266" t="s">
        <v>102</v>
      </c>
      <c r="I266">
        <v>2019</v>
      </c>
      <c r="J266" t="s">
        <v>72</v>
      </c>
      <c r="K266" t="s">
        <v>73</v>
      </c>
      <c r="N266" t="s">
        <v>631</v>
      </c>
      <c r="O266" t="s">
        <v>75</v>
      </c>
      <c r="P266">
        <v>4</v>
      </c>
      <c r="Q266" t="s">
        <v>82</v>
      </c>
      <c r="R266" t="s">
        <v>83</v>
      </c>
      <c r="S266" t="s">
        <v>40</v>
      </c>
      <c r="T266" t="s">
        <v>78</v>
      </c>
      <c r="U266">
        <v>85</v>
      </c>
      <c r="V266">
        <v>85</v>
      </c>
      <c r="W266">
        <v>44</v>
      </c>
      <c r="X266" s="2">
        <f>AVERAGE(Query1[[#This Row],[Assignment 1 Score]],Query1[[#This Row],[Assignment 2 Score]],Query1[[#This Row],[Midterm Exam Score]])</f>
        <v>71.333333333333329</v>
      </c>
      <c r="Y266" t="str" cm="1">
        <f t="array" ref="Y26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266" s="3">
        <f>Query1[[#This Row],[Final Score]]*5/100</f>
        <v>3.5666666666666664</v>
      </c>
      <c r="AA266" s="4">
        <v>0.9152499999999999</v>
      </c>
      <c r="AB266" s="4"/>
      <c r="AC266" s="5">
        <v>12595</v>
      </c>
      <c r="AD266" s="5">
        <v>1000</v>
      </c>
      <c r="AE266" s="5">
        <f>Query1[[#This Row],[Tuition Fee]]-Query1[[#This Row],[Scholarship Amount]]</f>
        <v>11595</v>
      </c>
      <c r="AF266" t="s">
        <v>31</v>
      </c>
    </row>
    <row r="267" spans="1:32" x14ac:dyDescent="0.35">
      <c r="A267" t="s">
        <v>632</v>
      </c>
      <c r="B267" t="s">
        <v>1012</v>
      </c>
      <c r="C267" t="s">
        <v>1353</v>
      </c>
      <c r="D267" t="str">
        <f>LEFT(Query1[[#This Row],[First Name]],1) &amp; "." &amp; Query1[[#This Row],[Last Name]] &amp; "@university.edu"</f>
        <v>A.Alen@university.edu</v>
      </c>
      <c r="E267" t="s">
        <v>43</v>
      </c>
      <c r="F267" s="1">
        <v>38456</v>
      </c>
      <c r="G267" s="2">
        <f ca="1">DATEDIF(Query1[[#This Row],[Date of Birth]],TODAY(),"Y")</f>
        <v>20</v>
      </c>
      <c r="H267" t="s">
        <v>105</v>
      </c>
      <c r="I267">
        <v>2020</v>
      </c>
      <c r="J267" t="s">
        <v>34</v>
      </c>
      <c r="K267" t="s">
        <v>35</v>
      </c>
      <c r="N267" t="s">
        <v>633</v>
      </c>
      <c r="O267" t="s">
        <v>37</v>
      </c>
      <c r="P267">
        <v>3</v>
      </c>
      <c r="Q267" t="s">
        <v>89</v>
      </c>
      <c r="R267" t="s">
        <v>90</v>
      </c>
      <c r="S267" t="s">
        <v>29</v>
      </c>
      <c r="T267" t="s">
        <v>41</v>
      </c>
      <c r="U267">
        <v>64</v>
      </c>
      <c r="V267">
        <v>70</v>
      </c>
      <c r="W267">
        <v>70</v>
      </c>
      <c r="X267" s="2">
        <f>AVERAGE(Query1[[#This Row],[Assignment 1 Score]],Query1[[#This Row],[Assignment 2 Score]],Query1[[#This Row],[Midterm Exam Score]])</f>
        <v>68</v>
      </c>
      <c r="Y267" t="str" cm="1">
        <f t="array" ref="Y26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67" s="3">
        <f>Query1[[#This Row],[Final Score]]*5/100</f>
        <v>3.4</v>
      </c>
      <c r="AA267" s="4">
        <v>0.86699999999999999</v>
      </c>
      <c r="AB267" s="4"/>
      <c r="AC267" s="5">
        <v>12118</v>
      </c>
      <c r="AD267" s="5">
        <v>5000</v>
      </c>
      <c r="AE267" s="5">
        <f>Query1[[#This Row],[Tuition Fee]]-Query1[[#This Row],[Scholarship Amount]]</f>
        <v>7118</v>
      </c>
      <c r="AF267" t="s">
        <v>31</v>
      </c>
    </row>
    <row r="268" spans="1:32" x14ac:dyDescent="0.35">
      <c r="A268" t="s">
        <v>634</v>
      </c>
      <c r="B268" t="s">
        <v>1013</v>
      </c>
      <c r="C268" t="s">
        <v>1354</v>
      </c>
      <c r="D268" t="str">
        <f>LEFT(Query1[[#This Row],[First Name]],1) &amp; "." &amp; Query1[[#This Row],[Last Name]] &amp; "@university.edu"</f>
        <v>R.MacKereth@university.edu</v>
      </c>
      <c r="E268" t="s">
        <v>32</v>
      </c>
      <c r="F268" s="1">
        <v>38466</v>
      </c>
      <c r="G268" s="2">
        <f ca="1">DATEDIF(Query1[[#This Row],[Date of Birth]],TODAY(),"Y")</f>
        <v>20</v>
      </c>
      <c r="H268" t="s">
        <v>108</v>
      </c>
      <c r="I268">
        <v>2021</v>
      </c>
      <c r="J268" t="s">
        <v>45</v>
      </c>
      <c r="K268" t="s">
        <v>86</v>
      </c>
      <c r="N268" t="s">
        <v>635</v>
      </c>
      <c r="O268" t="s">
        <v>88</v>
      </c>
      <c r="P268">
        <v>3</v>
      </c>
      <c r="Q268" t="s">
        <v>38</v>
      </c>
      <c r="R268" t="s">
        <v>39</v>
      </c>
      <c r="S268" t="s">
        <v>40</v>
      </c>
      <c r="T268" t="s">
        <v>51</v>
      </c>
      <c r="U268">
        <v>88</v>
      </c>
      <c r="V268">
        <v>82</v>
      </c>
      <c r="W268">
        <v>34</v>
      </c>
      <c r="X268" s="2">
        <f>AVERAGE(Query1[[#This Row],[Assignment 1 Score]],Query1[[#This Row],[Assignment 2 Score]],Query1[[#This Row],[Midterm Exam Score]])</f>
        <v>68</v>
      </c>
      <c r="Y268" t="str" cm="1">
        <f t="array" ref="Y26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68" s="3">
        <f>Query1[[#This Row],[Final Score]]*5/100</f>
        <v>3.4</v>
      </c>
      <c r="AA268" s="4">
        <v>0.91899999999999993</v>
      </c>
      <c r="AB268" s="4"/>
      <c r="AC268" s="5">
        <v>13141</v>
      </c>
      <c r="AD268" s="5">
        <v>2000</v>
      </c>
      <c r="AE268" s="5">
        <f>Query1[[#This Row],[Tuition Fee]]-Query1[[#This Row],[Scholarship Amount]]</f>
        <v>11141</v>
      </c>
      <c r="AF268" t="s">
        <v>60</v>
      </c>
    </row>
    <row r="269" spans="1:32" x14ac:dyDescent="0.35">
      <c r="A269" t="s">
        <v>636</v>
      </c>
      <c r="B269" t="s">
        <v>1014</v>
      </c>
      <c r="C269" t="s">
        <v>1355</v>
      </c>
      <c r="D269" t="str">
        <f>LEFT(Query1[[#This Row],[First Name]],1) &amp; "." &amp; Query1[[#This Row],[Last Name]] &amp; "@university.edu"</f>
        <v>E.Enser@university.edu</v>
      </c>
      <c r="E269" t="s">
        <v>43</v>
      </c>
      <c r="F269" s="1">
        <v>38476</v>
      </c>
      <c r="G269" s="2">
        <f ca="1">DATEDIF(Query1[[#This Row],[Date of Birth]],TODAY(),"Y")</f>
        <v>20</v>
      </c>
      <c r="H269" t="s">
        <v>113</v>
      </c>
      <c r="I269">
        <v>2022</v>
      </c>
      <c r="J269" t="s">
        <v>54</v>
      </c>
      <c r="K269" t="s">
        <v>93</v>
      </c>
      <c r="N269" t="s">
        <v>637</v>
      </c>
      <c r="O269" t="s">
        <v>95</v>
      </c>
      <c r="P269">
        <v>3</v>
      </c>
      <c r="Q269" t="s">
        <v>49</v>
      </c>
      <c r="R269" t="s">
        <v>50</v>
      </c>
      <c r="S269" t="s">
        <v>29</v>
      </c>
      <c r="T269" t="s">
        <v>30</v>
      </c>
      <c r="U269">
        <v>67</v>
      </c>
      <c r="V269">
        <v>67</v>
      </c>
      <c r="W269">
        <v>40</v>
      </c>
      <c r="X269" s="2">
        <f>AVERAGE(Query1[[#This Row],[Assignment 1 Score]],Query1[[#This Row],[Assignment 2 Score]],Query1[[#This Row],[Midterm Exam Score]])</f>
        <v>58</v>
      </c>
      <c r="Y269" t="str" cm="1">
        <f t="array" ref="Y26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69" s="3">
        <f>Query1[[#This Row],[Final Score]]*5/100</f>
        <v>2.9</v>
      </c>
      <c r="AA269" s="4">
        <v>0.87074999999999991</v>
      </c>
      <c r="AB269" s="4"/>
      <c r="AC269" s="5">
        <v>11164</v>
      </c>
      <c r="AD269" s="5">
        <v>0</v>
      </c>
      <c r="AE269" s="5">
        <f>Query1[[#This Row],[Tuition Fee]]-Query1[[#This Row],[Scholarship Amount]]</f>
        <v>11164</v>
      </c>
      <c r="AF269" t="s">
        <v>31</v>
      </c>
    </row>
    <row r="270" spans="1:32" x14ac:dyDescent="0.35">
      <c r="A270" t="s">
        <v>638</v>
      </c>
      <c r="B270" t="s">
        <v>1015</v>
      </c>
      <c r="C270" t="s">
        <v>1356</v>
      </c>
      <c r="D270" t="str">
        <f>LEFT(Query1[[#This Row],[First Name]],1) &amp; "." &amp; Query1[[#This Row],[Last Name]] &amp; "@university.edu"</f>
        <v>D.Cuchey@university.edu</v>
      </c>
      <c r="E270" t="s">
        <v>32</v>
      </c>
      <c r="F270" s="1">
        <v>38486</v>
      </c>
      <c r="G270" s="2">
        <f ca="1">DATEDIF(Query1[[#This Row],[Date of Birth]],TODAY(),"Y")</f>
        <v>20</v>
      </c>
      <c r="H270" t="s">
        <v>119</v>
      </c>
      <c r="I270">
        <v>2023</v>
      </c>
      <c r="J270" t="s">
        <v>63</v>
      </c>
      <c r="K270" t="s">
        <v>120</v>
      </c>
      <c r="N270" t="s">
        <v>639</v>
      </c>
      <c r="O270" t="s">
        <v>122</v>
      </c>
      <c r="P270">
        <v>5</v>
      </c>
      <c r="Q270" t="s">
        <v>58</v>
      </c>
      <c r="R270" t="s">
        <v>59</v>
      </c>
      <c r="S270" t="s">
        <v>40</v>
      </c>
      <c r="T270" t="s">
        <v>69</v>
      </c>
      <c r="U270">
        <v>81</v>
      </c>
      <c r="V270">
        <v>87</v>
      </c>
      <c r="W270">
        <v>34</v>
      </c>
      <c r="X270" s="2">
        <f>AVERAGE(Query1[[#This Row],[Assignment 1 Score]],Query1[[#This Row],[Assignment 2 Score]],Query1[[#This Row],[Midterm Exam Score]])</f>
        <v>67.333333333333329</v>
      </c>
      <c r="Y270" t="str" cm="1">
        <f t="array" ref="Y27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70" s="3">
        <f>Query1[[#This Row],[Final Score]]*5/100</f>
        <v>3.3666666666666663</v>
      </c>
      <c r="AA270" s="4">
        <v>0.90999999999999992</v>
      </c>
      <c r="AB270" s="4"/>
      <c r="AC270" s="5">
        <v>15187</v>
      </c>
      <c r="AD270" s="5">
        <v>1000</v>
      </c>
      <c r="AE270" s="5">
        <f>Query1[[#This Row],[Tuition Fee]]-Query1[[#This Row],[Scholarship Amount]]</f>
        <v>14187</v>
      </c>
      <c r="AF270" t="s">
        <v>31</v>
      </c>
    </row>
    <row r="271" spans="1:32" x14ac:dyDescent="0.35">
      <c r="A271" t="s">
        <v>640</v>
      </c>
      <c r="B271" t="s">
        <v>1016</v>
      </c>
      <c r="C271" t="s">
        <v>1357</v>
      </c>
      <c r="D271" t="str">
        <f>LEFT(Query1[[#This Row],[First Name]],1) &amp; "." &amp; Query1[[#This Row],[Last Name]] &amp; "@university.edu"</f>
        <v>R.Scarman@university.edu</v>
      </c>
      <c r="E271" t="s">
        <v>43</v>
      </c>
      <c r="F271" s="1">
        <v>38496</v>
      </c>
      <c r="G271" s="2">
        <f ca="1">DATEDIF(Query1[[#This Row],[Date of Birth]],TODAY(),"Y")</f>
        <v>20</v>
      </c>
      <c r="H271" t="s">
        <v>124</v>
      </c>
      <c r="I271">
        <v>2019</v>
      </c>
      <c r="J271" t="s">
        <v>72</v>
      </c>
      <c r="K271" t="s">
        <v>73</v>
      </c>
      <c r="N271" t="s">
        <v>641</v>
      </c>
      <c r="O271" t="s">
        <v>75</v>
      </c>
      <c r="P271">
        <v>4</v>
      </c>
      <c r="Q271" t="s">
        <v>67</v>
      </c>
      <c r="R271" t="s">
        <v>68</v>
      </c>
      <c r="S271" t="s">
        <v>29</v>
      </c>
      <c r="T271" t="s">
        <v>78</v>
      </c>
      <c r="U271">
        <v>60</v>
      </c>
      <c r="V271">
        <v>64</v>
      </c>
      <c r="W271">
        <v>56</v>
      </c>
      <c r="X271" s="2">
        <f>AVERAGE(Query1[[#This Row],[Assignment 1 Score]],Query1[[#This Row],[Assignment 2 Score]],Query1[[#This Row],[Midterm Exam Score]])</f>
        <v>60</v>
      </c>
      <c r="Y271" t="str" cm="1">
        <f t="array" ref="Y27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71" s="3">
        <f>Query1[[#This Row],[Final Score]]*5/100</f>
        <v>3</v>
      </c>
      <c r="AA271" s="4">
        <v>0.8587499999999999</v>
      </c>
      <c r="AB271" s="4"/>
      <c r="AC271" s="5">
        <v>12710</v>
      </c>
      <c r="AD271" s="5">
        <v>2000</v>
      </c>
      <c r="AE271" s="5">
        <f>Query1[[#This Row],[Tuition Fee]]-Query1[[#This Row],[Scholarship Amount]]</f>
        <v>10710</v>
      </c>
      <c r="AF271" t="s">
        <v>60</v>
      </c>
    </row>
    <row r="272" spans="1:32" x14ac:dyDescent="0.35">
      <c r="A272" t="s">
        <v>642</v>
      </c>
      <c r="B272" t="s">
        <v>1017</v>
      </c>
      <c r="C272" t="s">
        <v>1358</v>
      </c>
      <c r="D272" t="str">
        <f>LEFT(Query1[[#This Row],[First Name]],1) &amp; "." &amp; Query1[[#This Row],[Last Name]] &amp; "@university.edu"</f>
        <v>D.Yakunkin@university.edu</v>
      </c>
      <c r="E272" t="s">
        <v>32</v>
      </c>
      <c r="F272" s="1">
        <v>38506</v>
      </c>
      <c r="G272" s="2">
        <f ca="1">DATEDIF(Query1[[#This Row],[Date of Birth]],TODAY(),"Y")</f>
        <v>20</v>
      </c>
      <c r="H272" t="s">
        <v>127</v>
      </c>
      <c r="I272">
        <v>2020</v>
      </c>
      <c r="J272" t="s">
        <v>34</v>
      </c>
      <c r="K272" t="s">
        <v>35</v>
      </c>
      <c r="N272" t="s">
        <v>643</v>
      </c>
      <c r="O272" t="s">
        <v>37</v>
      </c>
      <c r="P272">
        <v>3</v>
      </c>
      <c r="Q272" t="s">
        <v>76</v>
      </c>
      <c r="R272" t="s">
        <v>77</v>
      </c>
      <c r="S272" t="s">
        <v>40</v>
      </c>
      <c r="T272" t="s">
        <v>41</v>
      </c>
      <c r="U272">
        <v>84</v>
      </c>
      <c r="V272">
        <v>84</v>
      </c>
      <c r="W272">
        <v>32</v>
      </c>
      <c r="X272" s="2">
        <f>AVERAGE(Query1[[#This Row],[Assignment 1 Score]],Query1[[#This Row],[Assignment 2 Score]],Query1[[#This Row],[Midterm Exam Score]])</f>
        <v>66.666666666666671</v>
      </c>
      <c r="Y272" t="str" cm="1">
        <f t="array" ref="Y27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72" s="3">
        <f>Query1[[#This Row],[Final Score]]*5/100</f>
        <v>3.3333333333333339</v>
      </c>
      <c r="AA272" s="4">
        <v>0.90174999999999994</v>
      </c>
      <c r="AB272" s="4"/>
      <c r="AC272" s="5">
        <v>12233</v>
      </c>
      <c r="AD272" s="5">
        <v>1000</v>
      </c>
      <c r="AE272" s="5">
        <f>Query1[[#This Row],[Tuition Fee]]-Query1[[#This Row],[Scholarship Amount]]</f>
        <v>11233</v>
      </c>
      <c r="AF272" t="s">
        <v>31</v>
      </c>
    </row>
    <row r="273" spans="1:32" x14ac:dyDescent="0.35">
      <c r="A273" t="s">
        <v>644</v>
      </c>
      <c r="B273" t="s">
        <v>1018</v>
      </c>
      <c r="C273" t="s">
        <v>1359</v>
      </c>
      <c r="D273" t="str">
        <f>LEFT(Query1[[#This Row],[First Name]],1) &amp; "." &amp; Query1[[#This Row],[Last Name]] &amp; "@university.edu"</f>
        <v>B.Cheesman@university.edu</v>
      </c>
      <c r="E273" t="s">
        <v>43</v>
      </c>
      <c r="F273" s="1">
        <v>38516</v>
      </c>
      <c r="G273" s="2">
        <f ca="1">DATEDIF(Query1[[#This Row],[Date of Birth]],TODAY(),"Y")</f>
        <v>20</v>
      </c>
      <c r="H273" t="s">
        <v>130</v>
      </c>
      <c r="I273">
        <v>2021</v>
      </c>
      <c r="J273" t="s">
        <v>45</v>
      </c>
      <c r="K273" t="s">
        <v>109</v>
      </c>
      <c r="N273" t="s">
        <v>645</v>
      </c>
      <c r="O273" t="s">
        <v>111</v>
      </c>
      <c r="P273">
        <v>3</v>
      </c>
      <c r="Q273" t="s">
        <v>82</v>
      </c>
      <c r="R273" t="s">
        <v>83</v>
      </c>
      <c r="S273" t="s">
        <v>29</v>
      </c>
      <c r="T273" t="s">
        <v>51</v>
      </c>
      <c r="U273">
        <v>63</v>
      </c>
      <c r="V273">
        <v>61</v>
      </c>
      <c r="W273">
        <v>44</v>
      </c>
      <c r="X273" s="2">
        <f>AVERAGE(Query1[[#This Row],[Assignment 1 Score]],Query1[[#This Row],[Assignment 2 Score]],Query1[[#This Row],[Midterm Exam Score]])</f>
        <v>56</v>
      </c>
      <c r="Y273" t="str" cm="1">
        <f t="array" ref="Y27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73" s="3">
        <f>Query1[[#This Row],[Final Score]]*5/100</f>
        <v>2.8</v>
      </c>
      <c r="AA273" s="4">
        <v>0.85049999999999992</v>
      </c>
      <c r="AB273" s="4"/>
      <c r="AC273" s="5">
        <v>13256</v>
      </c>
      <c r="AD273" s="5">
        <v>0</v>
      </c>
      <c r="AE273" s="5">
        <f>Query1[[#This Row],[Tuition Fee]]-Query1[[#This Row],[Scholarship Amount]]</f>
        <v>13256</v>
      </c>
      <c r="AF273" t="s">
        <v>31</v>
      </c>
    </row>
    <row r="274" spans="1:32" x14ac:dyDescent="0.35">
      <c r="A274" t="s">
        <v>646</v>
      </c>
      <c r="B274" t="s">
        <v>1019</v>
      </c>
      <c r="C274" t="s">
        <v>1360</v>
      </c>
      <c r="D274" t="str">
        <f>LEFT(Query1[[#This Row],[First Name]],1) &amp; "." &amp; Query1[[#This Row],[Last Name]] &amp; "@university.edu"</f>
        <v>J.Goodlake@university.edu</v>
      </c>
      <c r="E274" t="s">
        <v>32</v>
      </c>
      <c r="F274" s="1">
        <v>38526</v>
      </c>
      <c r="G274" s="2">
        <f ca="1">DATEDIF(Query1[[#This Row],[Date of Birth]],TODAY(),"Y")</f>
        <v>20</v>
      </c>
      <c r="H274" t="s">
        <v>33</v>
      </c>
      <c r="I274">
        <v>2022</v>
      </c>
      <c r="J274" t="s">
        <v>54</v>
      </c>
      <c r="K274" t="s">
        <v>114</v>
      </c>
      <c r="N274" t="s">
        <v>647</v>
      </c>
      <c r="O274" t="s">
        <v>116</v>
      </c>
      <c r="P274">
        <v>3</v>
      </c>
      <c r="Q274" t="s">
        <v>89</v>
      </c>
      <c r="R274" t="s">
        <v>90</v>
      </c>
      <c r="S274" t="s">
        <v>40</v>
      </c>
      <c r="T274" t="s">
        <v>30</v>
      </c>
      <c r="U274">
        <v>77</v>
      </c>
      <c r="V274">
        <v>81</v>
      </c>
      <c r="W274">
        <v>70</v>
      </c>
      <c r="X274" s="2">
        <f>AVERAGE(Query1[[#This Row],[Assignment 1 Score]],Query1[[#This Row],[Assignment 2 Score]],Query1[[#This Row],[Midterm Exam Score]])</f>
        <v>76</v>
      </c>
      <c r="Y274" t="str" cm="1">
        <f t="array" ref="Y27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274" s="3">
        <f>Query1[[#This Row],[Final Score]]*5/100</f>
        <v>3.8</v>
      </c>
      <c r="AA274" s="4">
        <v>0.90174999999999994</v>
      </c>
      <c r="AB274" s="4"/>
      <c r="AC274" s="5">
        <v>11279</v>
      </c>
      <c r="AD274" s="5">
        <v>5000</v>
      </c>
      <c r="AE274" s="5">
        <f>Query1[[#This Row],[Tuition Fee]]-Query1[[#This Row],[Scholarship Amount]]</f>
        <v>6279</v>
      </c>
      <c r="AF274" t="s">
        <v>60</v>
      </c>
    </row>
    <row r="275" spans="1:32" x14ac:dyDescent="0.35">
      <c r="A275" t="s">
        <v>648</v>
      </c>
      <c r="B275" t="s">
        <v>1020</v>
      </c>
      <c r="C275" t="s">
        <v>1361</v>
      </c>
      <c r="D275" t="str">
        <f>LEFT(Query1[[#This Row],[First Name]],1) &amp; "." &amp; Query1[[#This Row],[Last Name]] &amp; "@university.edu"</f>
        <v>S.Sheerin@university.edu</v>
      </c>
      <c r="E275" t="s">
        <v>43</v>
      </c>
      <c r="F275" s="1">
        <v>38536</v>
      </c>
      <c r="G275" s="2">
        <f ca="1">DATEDIF(Query1[[#This Row],[Date of Birth]],TODAY(),"Y")</f>
        <v>20</v>
      </c>
      <c r="H275" t="s">
        <v>44</v>
      </c>
      <c r="I275">
        <v>2023</v>
      </c>
      <c r="J275" t="s">
        <v>63</v>
      </c>
      <c r="K275" t="s">
        <v>64</v>
      </c>
      <c r="N275" t="s">
        <v>649</v>
      </c>
      <c r="O275" t="s">
        <v>66</v>
      </c>
      <c r="P275">
        <v>5</v>
      </c>
      <c r="Q275" t="s">
        <v>38</v>
      </c>
      <c r="R275" t="s">
        <v>39</v>
      </c>
      <c r="S275" t="s">
        <v>29</v>
      </c>
      <c r="T275" t="s">
        <v>69</v>
      </c>
      <c r="U275">
        <v>66</v>
      </c>
      <c r="V275">
        <v>66</v>
      </c>
      <c r="W275">
        <v>50</v>
      </c>
      <c r="X275" s="2">
        <f>AVERAGE(Query1[[#This Row],[Assignment 1 Score]],Query1[[#This Row],[Assignment 2 Score]],Query1[[#This Row],[Midterm Exam Score]])</f>
        <v>60.666666666666664</v>
      </c>
      <c r="Y275" t="str" cm="1">
        <f t="array" ref="Y27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75" s="3">
        <f>Query1[[#This Row],[Final Score]]*5/100</f>
        <v>3.0333333333333332</v>
      </c>
      <c r="AA275" s="4">
        <v>0.85724999999999996</v>
      </c>
      <c r="AB275" s="4"/>
      <c r="AC275" s="5">
        <v>15302</v>
      </c>
      <c r="AD275" s="5">
        <v>1000</v>
      </c>
      <c r="AE275" s="5">
        <f>Query1[[#This Row],[Tuition Fee]]-Query1[[#This Row],[Scholarship Amount]]</f>
        <v>14302</v>
      </c>
      <c r="AF275" t="s">
        <v>31</v>
      </c>
    </row>
    <row r="276" spans="1:32" x14ac:dyDescent="0.35">
      <c r="A276" t="s">
        <v>650</v>
      </c>
      <c r="B276" t="s">
        <v>1021</v>
      </c>
      <c r="C276" t="s">
        <v>1362</v>
      </c>
      <c r="D276" t="str">
        <f>LEFT(Query1[[#This Row],[First Name]],1) &amp; "." &amp; Query1[[#This Row],[Last Name]] &amp; "@university.edu"</f>
        <v>J.McKinless@university.edu</v>
      </c>
      <c r="E276" t="s">
        <v>32</v>
      </c>
      <c r="F276" s="1">
        <v>38546</v>
      </c>
      <c r="G276" s="2">
        <f ca="1">DATEDIF(Query1[[#This Row],[Date of Birth]],TODAY(),"Y")</f>
        <v>20</v>
      </c>
      <c r="H276" t="s">
        <v>53</v>
      </c>
      <c r="I276">
        <v>2019</v>
      </c>
      <c r="J276" t="s">
        <v>72</v>
      </c>
      <c r="K276" t="s">
        <v>73</v>
      </c>
      <c r="N276" t="s">
        <v>651</v>
      </c>
      <c r="O276" t="s">
        <v>75</v>
      </c>
      <c r="P276">
        <v>4</v>
      </c>
      <c r="Q276" t="s">
        <v>49</v>
      </c>
      <c r="R276" t="s">
        <v>50</v>
      </c>
      <c r="S276" t="s">
        <v>40</v>
      </c>
      <c r="T276" t="s">
        <v>78</v>
      </c>
      <c r="U276">
        <v>80</v>
      </c>
      <c r="V276">
        <v>78</v>
      </c>
      <c r="W276">
        <v>60</v>
      </c>
      <c r="X276" s="2">
        <f>AVERAGE(Query1[[#This Row],[Assignment 1 Score]],Query1[[#This Row],[Assignment 2 Score]],Query1[[#This Row],[Midterm Exam Score]])</f>
        <v>72.666666666666671</v>
      </c>
      <c r="Y276" t="str" cm="1">
        <f t="array" ref="Y27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276" s="3">
        <f>Query1[[#This Row],[Final Score]]*5/100</f>
        <v>3.6333333333333337</v>
      </c>
      <c r="AA276" s="4">
        <v>0.89349999999999996</v>
      </c>
      <c r="AB276" s="4"/>
      <c r="AC276" s="5">
        <v>12825</v>
      </c>
      <c r="AD276" s="5">
        <v>1000</v>
      </c>
      <c r="AE276" s="5">
        <f>Query1[[#This Row],[Tuition Fee]]-Query1[[#This Row],[Scholarship Amount]]</f>
        <v>11825</v>
      </c>
      <c r="AF276" t="s">
        <v>31</v>
      </c>
    </row>
    <row r="277" spans="1:32" x14ac:dyDescent="0.35">
      <c r="A277" t="s">
        <v>652</v>
      </c>
      <c r="B277" t="s">
        <v>1022</v>
      </c>
      <c r="C277" t="s">
        <v>1363</v>
      </c>
      <c r="D277" t="str">
        <f>LEFT(Query1[[#This Row],[First Name]],1) &amp; "." &amp; Query1[[#This Row],[Last Name]] &amp; "@university.edu"</f>
        <v>P.Stiff@university.edu</v>
      </c>
      <c r="E277" t="s">
        <v>43</v>
      </c>
      <c r="F277" s="1">
        <v>38556</v>
      </c>
      <c r="G277" s="2">
        <f ca="1">DATEDIF(Query1[[#This Row],[Date of Birth]],TODAY(),"Y")</f>
        <v>20</v>
      </c>
      <c r="H277" t="s">
        <v>62</v>
      </c>
      <c r="I277">
        <v>2020</v>
      </c>
      <c r="J277" t="s">
        <v>34</v>
      </c>
      <c r="K277" t="s">
        <v>35</v>
      </c>
      <c r="N277" t="s">
        <v>653</v>
      </c>
      <c r="O277" t="s">
        <v>37</v>
      </c>
      <c r="P277">
        <v>3</v>
      </c>
      <c r="Q277" t="s">
        <v>58</v>
      </c>
      <c r="R277" t="s">
        <v>59</v>
      </c>
      <c r="S277" t="s">
        <v>29</v>
      </c>
      <c r="T277" t="s">
        <v>41</v>
      </c>
      <c r="U277">
        <v>59</v>
      </c>
      <c r="V277">
        <v>63</v>
      </c>
      <c r="W277">
        <v>58</v>
      </c>
      <c r="X277" s="2">
        <f>AVERAGE(Query1[[#This Row],[Assignment 1 Score]],Query1[[#This Row],[Assignment 2 Score]],Query1[[#This Row],[Midterm Exam Score]])</f>
        <v>60</v>
      </c>
      <c r="Y277" t="str" cm="1">
        <f t="array" ref="Y27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77" s="3">
        <f>Query1[[#This Row],[Final Score]]*5/100</f>
        <v>3</v>
      </c>
      <c r="AA277" s="4">
        <v>0.84524999999999995</v>
      </c>
      <c r="AB277" s="4"/>
      <c r="AC277" s="5">
        <v>12348</v>
      </c>
      <c r="AD277" s="5">
        <v>0</v>
      </c>
      <c r="AE277" s="5">
        <f>Query1[[#This Row],[Tuition Fee]]-Query1[[#This Row],[Scholarship Amount]]</f>
        <v>12348</v>
      </c>
      <c r="AF277" t="s">
        <v>60</v>
      </c>
    </row>
    <row r="278" spans="1:32" x14ac:dyDescent="0.35">
      <c r="A278" t="s">
        <v>654</v>
      </c>
      <c r="B278" t="s">
        <v>1023</v>
      </c>
      <c r="C278" t="s">
        <v>1364</v>
      </c>
      <c r="D278" t="str">
        <f>LEFT(Query1[[#This Row],[First Name]],1) &amp; "." &amp; Query1[[#This Row],[Last Name]] &amp; "@university.edu"</f>
        <v>T.Crown@university.edu</v>
      </c>
      <c r="E278" t="s">
        <v>32</v>
      </c>
      <c r="F278" s="1">
        <v>38566</v>
      </c>
      <c r="G278" s="2">
        <f ca="1">DATEDIF(Query1[[#This Row],[Date of Birth]],TODAY(),"Y")</f>
        <v>20</v>
      </c>
      <c r="H278" t="s">
        <v>71</v>
      </c>
      <c r="I278">
        <v>2021</v>
      </c>
      <c r="J278" t="s">
        <v>45</v>
      </c>
      <c r="K278" t="s">
        <v>131</v>
      </c>
      <c r="N278" t="s">
        <v>655</v>
      </c>
      <c r="O278" t="s">
        <v>133</v>
      </c>
      <c r="P278">
        <v>3</v>
      </c>
      <c r="Q278" t="s">
        <v>67</v>
      </c>
      <c r="R278" t="s">
        <v>68</v>
      </c>
      <c r="S278" t="s">
        <v>40</v>
      </c>
      <c r="T278" t="s">
        <v>51</v>
      </c>
      <c r="U278">
        <v>83</v>
      </c>
      <c r="V278">
        <v>83</v>
      </c>
      <c r="W278">
        <v>72</v>
      </c>
      <c r="X278" s="2">
        <f>AVERAGE(Query1[[#This Row],[Assignment 1 Score]],Query1[[#This Row],[Assignment 2 Score]],Query1[[#This Row],[Midterm Exam Score]])</f>
        <v>79.333333333333329</v>
      </c>
      <c r="Y278" t="str" cm="1">
        <f t="array" ref="Y27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278" s="3">
        <f>Query1[[#This Row],[Final Score]]*5/100</f>
        <v>3.9666666666666663</v>
      </c>
      <c r="AA278" s="4">
        <v>0.88824999999999998</v>
      </c>
      <c r="AB278" s="4"/>
      <c r="AC278" s="5">
        <v>13371</v>
      </c>
      <c r="AD278" s="5">
        <v>1000</v>
      </c>
      <c r="AE278" s="5">
        <f>Query1[[#This Row],[Tuition Fee]]-Query1[[#This Row],[Scholarship Amount]]</f>
        <v>12371</v>
      </c>
      <c r="AF278" t="s">
        <v>31</v>
      </c>
    </row>
    <row r="279" spans="1:32" x14ac:dyDescent="0.35">
      <c r="A279" t="s">
        <v>656</v>
      </c>
      <c r="B279" t="s">
        <v>1024</v>
      </c>
      <c r="C279" t="s">
        <v>1365</v>
      </c>
      <c r="D279" t="str">
        <f>LEFT(Query1[[#This Row],[First Name]],1) &amp; "." &amp; Query1[[#This Row],[Last Name]] &amp; "@university.edu"</f>
        <v>G.Wippermann@university.edu</v>
      </c>
      <c r="E279" t="s">
        <v>43</v>
      </c>
      <c r="F279" s="1">
        <v>38576</v>
      </c>
      <c r="G279" s="2">
        <f ca="1">DATEDIF(Query1[[#This Row],[Date of Birth]],TODAY(),"Y")</f>
        <v>20</v>
      </c>
      <c r="H279" t="s">
        <v>80</v>
      </c>
      <c r="I279">
        <v>2022</v>
      </c>
      <c r="J279" t="s">
        <v>54</v>
      </c>
      <c r="K279" t="s">
        <v>135</v>
      </c>
      <c r="N279" t="s">
        <v>657</v>
      </c>
      <c r="O279" t="s">
        <v>137</v>
      </c>
      <c r="P279">
        <v>3</v>
      </c>
      <c r="Q279" t="s">
        <v>76</v>
      </c>
      <c r="R279" t="s">
        <v>77</v>
      </c>
      <c r="S279" t="s">
        <v>29</v>
      </c>
      <c r="T279" t="s">
        <v>30</v>
      </c>
      <c r="U279">
        <v>62</v>
      </c>
      <c r="V279">
        <v>60</v>
      </c>
      <c r="W279">
        <v>67</v>
      </c>
      <c r="X279" s="2">
        <f>AVERAGE(Query1[[#This Row],[Assignment 1 Score]],Query1[[#This Row],[Assignment 2 Score]],Query1[[#This Row],[Midterm Exam Score]])</f>
        <v>63</v>
      </c>
      <c r="Y279" t="str" cm="1">
        <f t="array" ref="Y27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279" s="3">
        <f>Query1[[#This Row],[Final Score]]*5/100</f>
        <v>3.15</v>
      </c>
      <c r="AA279" s="4">
        <v>0.84899999999999998</v>
      </c>
      <c r="AB279" s="4"/>
      <c r="AC279" s="5">
        <v>11394</v>
      </c>
      <c r="AD279" s="5">
        <v>1000</v>
      </c>
      <c r="AE279" s="5">
        <f>Query1[[#This Row],[Tuition Fee]]-Query1[[#This Row],[Scholarship Amount]]</f>
        <v>10394</v>
      </c>
      <c r="AF279" t="s">
        <v>31</v>
      </c>
    </row>
    <row r="280" spans="1:32" x14ac:dyDescent="0.35">
      <c r="A280" t="s">
        <v>658</v>
      </c>
      <c r="B280" t="s">
        <v>1025</v>
      </c>
      <c r="C280" t="s">
        <v>1366</v>
      </c>
      <c r="D280" t="str">
        <f>LEFT(Query1[[#This Row],[First Name]],1) &amp; "." &amp; Query1[[#This Row],[Last Name]] &amp; "@university.edu"</f>
        <v>M.Fairbank@university.edu</v>
      </c>
      <c r="E280" t="s">
        <v>32</v>
      </c>
      <c r="F280" s="1">
        <v>38586</v>
      </c>
      <c r="G280" s="2">
        <f ca="1">DATEDIF(Query1[[#This Row],[Date of Birth]],TODAY(),"Y")</f>
        <v>20</v>
      </c>
      <c r="H280" t="s">
        <v>85</v>
      </c>
      <c r="I280">
        <v>2023</v>
      </c>
      <c r="J280" t="s">
        <v>63</v>
      </c>
      <c r="K280" t="s">
        <v>98</v>
      </c>
      <c r="N280" t="s">
        <v>659</v>
      </c>
      <c r="O280" t="s">
        <v>100</v>
      </c>
      <c r="P280">
        <v>5</v>
      </c>
      <c r="Q280" t="s">
        <v>82</v>
      </c>
      <c r="R280" t="s">
        <v>83</v>
      </c>
      <c r="S280" t="s">
        <v>40</v>
      </c>
      <c r="T280" t="s">
        <v>69</v>
      </c>
      <c r="U280">
        <v>50</v>
      </c>
      <c r="V280">
        <v>80</v>
      </c>
      <c r="W280">
        <v>81</v>
      </c>
      <c r="X280" s="2">
        <f>AVERAGE(Query1[[#This Row],[Assignment 1 Score]],Query1[[#This Row],[Assignment 2 Score]],Query1[[#This Row],[Midterm Exam Score]])</f>
        <v>70.333333333333329</v>
      </c>
      <c r="Y280" t="str" cm="1">
        <f t="array" ref="Y28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80" s="3">
        <f>Query1[[#This Row],[Final Score]]*5/100</f>
        <v>3.5166666666666662</v>
      </c>
      <c r="AA280" s="4">
        <v>0.88824999999999998</v>
      </c>
      <c r="AB280" s="4"/>
      <c r="AC280" s="5">
        <v>15417</v>
      </c>
      <c r="AD280" s="5">
        <v>2000</v>
      </c>
      <c r="AE280" s="5">
        <f>Query1[[#This Row],[Tuition Fee]]-Query1[[#This Row],[Scholarship Amount]]</f>
        <v>13417</v>
      </c>
      <c r="AF280" t="s">
        <v>60</v>
      </c>
    </row>
    <row r="281" spans="1:32" x14ac:dyDescent="0.35">
      <c r="A281" t="s">
        <v>660</v>
      </c>
      <c r="B281" t="s">
        <v>1026</v>
      </c>
      <c r="C281" t="s">
        <v>1367</v>
      </c>
      <c r="D281" t="str">
        <f>LEFT(Query1[[#This Row],[First Name]],1) &amp; "." &amp; Query1[[#This Row],[Last Name]] &amp; "@university.edu"</f>
        <v>S.McLean@university.edu</v>
      </c>
      <c r="E281" t="s">
        <v>43</v>
      </c>
      <c r="F281" s="1">
        <v>38596</v>
      </c>
      <c r="G281" s="2">
        <f ca="1">DATEDIF(Query1[[#This Row],[Date of Birth]],TODAY(),"Y")</f>
        <v>20</v>
      </c>
      <c r="H281" t="s">
        <v>92</v>
      </c>
      <c r="I281">
        <v>2019</v>
      </c>
      <c r="J281" t="s">
        <v>72</v>
      </c>
      <c r="K281" t="s">
        <v>73</v>
      </c>
      <c r="N281" t="s">
        <v>661</v>
      </c>
      <c r="O281" t="s">
        <v>75</v>
      </c>
      <c r="P281">
        <v>4</v>
      </c>
      <c r="Q281" t="s">
        <v>89</v>
      </c>
      <c r="R281" t="s">
        <v>90</v>
      </c>
      <c r="S281" t="s">
        <v>29</v>
      </c>
      <c r="T281" t="s">
        <v>78</v>
      </c>
      <c r="U281">
        <v>60</v>
      </c>
      <c r="V281">
        <v>57</v>
      </c>
      <c r="W281">
        <v>60</v>
      </c>
      <c r="X281" s="2">
        <f>AVERAGE(Query1[[#This Row],[Assignment 1 Score]],Query1[[#This Row],[Assignment 2 Score]],Query1[[#This Row],[Midterm Exam Score]])</f>
        <v>59</v>
      </c>
      <c r="Y281" t="str" cm="1">
        <f t="array" ref="Y28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81" s="3">
        <f>Query1[[#This Row],[Final Score]]*5/100</f>
        <v>2.95</v>
      </c>
      <c r="AA281" s="4">
        <v>0.83699999999999997</v>
      </c>
      <c r="AB281" s="4"/>
      <c r="AC281" s="5">
        <v>12940</v>
      </c>
      <c r="AD281" s="5">
        <v>0</v>
      </c>
      <c r="AE281" s="5">
        <f>Query1[[#This Row],[Tuition Fee]]-Query1[[#This Row],[Scholarship Amount]]</f>
        <v>12940</v>
      </c>
      <c r="AF281" t="s">
        <v>31</v>
      </c>
    </row>
    <row r="282" spans="1:32" x14ac:dyDescent="0.35">
      <c r="A282" t="s">
        <v>662</v>
      </c>
      <c r="B282" t="s">
        <v>1027</v>
      </c>
      <c r="C282" t="s">
        <v>1368</v>
      </c>
      <c r="D282" t="str">
        <f>LEFT(Query1[[#This Row],[First Name]],1) &amp; "." &amp; Query1[[#This Row],[Last Name]] &amp; "@university.edu"</f>
        <v>H.Itshak@university.edu</v>
      </c>
      <c r="E282" t="s">
        <v>32</v>
      </c>
      <c r="F282" s="1">
        <v>38606</v>
      </c>
      <c r="G282" s="2">
        <f ca="1">DATEDIF(Query1[[#This Row],[Date of Birth]],TODAY(),"Y")</f>
        <v>20</v>
      </c>
      <c r="H282" t="s">
        <v>97</v>
      </c>
      <c r="I282">
        <v>2020</v>
      </c>
      <c r="J282" t="s">
        <v>34</v>
      </c>
      <c r="K282" t="s">
        <v>35</v>
      </c>
      <c r="N282" t="s">
        <v>663</v>
      </c>
      <c r="O282" t="s">
        <v>37</v>
      </c>
      <c r="P282">
        <v>3</v>
      </c>
      <c r="Q282" t="s">
        <v>38</v>
      </c>
      <c r="R282" t="s">
        <v>39</v>
      </c>
      <c r="S282" t="s">
        <v>40</v>
      </c>
      <c r="T282" t="s">
        <v>41</v>
      </c>
      <c r="U282">
        <v>41</v>
      </c>
      <c r="V282">
        <v>77</v>
      </c>
      <c r="W282">
        <v>74</v>
      </c>
      <c r="X282" s="2">
        <f>AVERAGE(Query1[[#This Row],[Assignment 1 Score]],Query1[[#This Row],[Assignment 2 Score]],Query1[[#This Row],[Midterm Exam Score]])</f>
        <v>64</v>
      </c>
      <c r="Y282" t="str" cm="1">
        <f t="array" ref="Y28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282" s="3">
        <f>Query1[[#This Row],[Final Score]]*5/100</f>
        <v>3.2</v>
      </c>
      <c r="AA282" s="4">
        <v>0.89999999999999991</v>
      </c>
      <c r="AB282" s="4"/>
      <c r="AC282" s="5">
        <v>12463</v>
      </c>
      <c r="AD282" s="5">
        <v>1000</v>
      </c>
      <c r="AE282" s="5">
        <f>Query1[[#This Row],[Tuition Fee]]-Query1[[#This Row],[Scholarship Amount]]</f>
        <v>11463</v>
      </c>
      <c r="AF282" t="s">
        <v>31</v>
      </c>
    </row>
    <row r="283" spans="1:32" x14ac:dyDescent="0.35">
      <c r="A283" t="s">
        <v>664</v>
      </c>
      <c r="B283" t="s">
        <v>1028</v>
      </c>
      <c r="C283" t="s">
        <v>1369</v>
      </c>
      <c r="D283" t="str">
        <f>LEFT(Query1[[#This Row],[First Name]],1) &amp; "." &amp; Query1[[#This Row],[Last Name]] &amp; "@university.edu"</f>
        <v>K.MacMoyer@university.edu</v>
      </c>
      <c r="E283" t="s">
        <v>43</v>
      </c>
      <c r="F283" s="1">
        <v>38616</v>
      </c>
      <c r="G283" s="2">
        <f ca="1">DATEDIF(Query1[[#This Row],[Date of Birth]],TODAY(),"Y")</f>
        <v>20</v>
      </c>
      <c r="H283" t="s">
        <v>102</v>
      </c>
      <c r="I283">
        <v>2021</v>
      </c>
      <c r="J283" t="s">
        <v>45</v>
      </c>
      <c r="K283" t="s">
        <v>46</v>
      </c>
      <c r="N283" t="s">
        <v>665</v>
      </c>
      <c r="O283" t="s">
        <v>48</v>
      </c>
      <c r="P283">
        <v>3</v>
      </c>
      <c r="Q283" t="s">
        <v>49</v>
      </c>
      <c r="R283" t="s">
        <v>50</v>
      </c>
      <c r="S283" t="s">
        <v>29</v>
      </c>
      <c r="T283" t="s">
        <v>51</v>
      </c>
      <c r="U283">
        <v>38</v>
      </c>
      <c r="V283">
        <v>97</v>
      </c>
      <c r="W283">
        <v>88</v>
      </c>
      <c r="X283" s="2">
        <f>AVERAGE(Query1[[#This Row],[Assignment 1 Score]],Query1[[#This Row],[Assignment 2 Score]],Query1[[#This Row],[Midterm Exam Score]])</f>
        <v>74.333333333333329</v>
      </c>
      <c r="Y283" t="str" cm="1">
        <f t="array" ref="Y28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283" s="3">
        <f>Query1[[#This Row],[Final Score]]*5/100</f>
        <v>3.7166666666666663</v>
      </c>
      <c r="AA283" s="4">
        <v>0.93924999999999992</v>
      </c>
      <c r="AB283" s="4"/>
      <c r="AC283" s="5">
        <v>13486</v>
      </c>
      <c r="AD283" s="5">
        <v>2000</v>
      </c>
      <c r="AE283" s="5">
        <f>Query1[[#This Row],[Tuition Fee]]-Query1[[#This Row],[Scholarship Amount]]</f>
        <v>11486</v>
      </c>
      <c r="AF283" t="s">
        <v>60</v>
      </c>
    </row>
    <row r="284" spans="1:32" x14ac:dyDescent="0.35">
      <c r="A284" t="s">
        <v>666</v>
      </c>
      <c r="B284" t="s">
        <v>1029</v>
      </c>
      <c r="C284" t="s">
        <v>1370</v>
      </c>
      <c r="D284" t="str">
        <f>LEFT(Query1[[#This Row],[First Name]],1) &amp; "." &amp; Query1[[#This Row],[Last Name]] &amp; "@university.edu"</f>
        <v>R.Penas@university.edu</v>
      </c>
      <c r="E284" t="s">
        <v>32</v>
      </c>
      <c r="F284" s="1">
        <v>38626</v>
      </c>
      <c r="G284" s="2">
        <f ca="1">DATEDIF(Query1[[#This Row],[Date of Birth]],TODAY(),"Y")</f>
        <v>20</v>
      </c>
      <c r="H284" t="s">
        <v>105</v>
      </c>
      <c r="I284">
        <v>2022</v>
      </c>
      <c r="J284" t="s">
        <v>54</v>
      </c>
      <c r="K284" t="s">
        <v>55</v>
      </c>
      <c r="N284" t="s">
        <v>667</v>
      </c>
      <c r="O284" t="s">
        <v>57</v>
      </c>
      <c r="P284">
        <v>3</v>
      </c>
      <c r="Q284" t="s">
        <v>58</v>
      </c>
      <c r="R284" t="s">
        <v>59</v>
      </c>
      <c r="S284" t="s">
        <v>40</v>
      </c>
      <c r="T284" t="s">
        <v>30</v>
      </c>
      <c r="U284">
        <v>59</v>
      </c>
      <c r="V284">
        <v>74</v>
      </c>
      <c r="W284">
        <v>83</v>
      </c>
      <c r="X284" s="2">
        <f>AVERAGE(Query1[[#This Row],[Assignment 1 Score]],Query1[[#This Row],[Assignment 2 Score]],Query1[[#This Row],[Midterm Exam Score]])</f>
        <v>72</v>
      </c>
      <c r="Y284" t="str" cm="1">
        <f t="array" ref="Y28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284" s="3">
        <f>Query1[[#This Row],[Final Score]]*5/100</f>
        <v>3.6</v>
      </c>
      <c r="AA284" s="4">
        <v>0.89999999999999991</v>
      </c>
      <c r="AB284" s="4"/>
      <c r="AC284" s="5">
        <v>11009</v>
      </c>
      <c r="AD284" s="5">
        <v>1000</v>
      </c>
      <c r="AE284" s="5">
        <f>Query1[[#This Row],[Tuition Fee]]-Query1[[#This Row],[Scholarship Amount]]</f>
        <v>10009</v>
      </c>
      <c r="AF284" t="s">
        <v>31</v>
      </c>
    </row>
    <row r="285" spans="1:32" x14ac:dyDescent="0.35">
      <c r="A285" t="s">
        <v>668</v>
      </c>
      <c r="B285" t="s">
        <v>1030</v>
      </c>
      <c r="C285" t="s">
        <v>1371</v>
      </c>
      <c r="D285" t="str">
        <f>LEFT(Query1[[#This Row],[First Name]],1) &amp; "." &amp; Query1[[#This Row],[Last Name]] &amp; "@university.edu"</f>
        <v>O.O'Collopy@university.edu</v>
      </c>
      <c r="E285" t="s">
        <v>43</v>
      </c>
      <c r="F285" s="1">
        <v>38636</v>
      </c>
      <c r="G285" s="2">
        <f ca="1">DATEDIF(Query1[[#This Row],[Date of Birth]],TODAY(),"Y")</f>
        <v>20</v>
      </c>
      <c r="H285" t="s">
        <v>108</v>
      </c>
      <c r="I285">
        <v>2023</v>
      </c>
      <c r="J285" t="s">
        <v>63</v>
      </c>
      <c r="K285" t="s">
        <v>120</v>
      </c>
      <c r="N285" t="s">
        <v>669</v>
      </c>
      <c r="O285" t="s">
        <v>122</v>
      </c>
      <c r="P285">
        <v>5</v>
      </c>
      <c r="Q285" t="s">
        <v>67</v>
      </c>
      <c r="R285" t="s">
        <v>68</v>
      </c>
      <c r="S285" t="s">
        <v>29</v>
      </c>
      <c r="T285" t="s">
        <v>69</v>
      </c>
      <c r="U285">
        <v>40</v>
      </c>
      <c r="V285">
        <v>94</v>
      </c>
      <c r="W285">
        <v>97</v>
      </c>
      <c r="X285" s="2">
        <f>AVERAGE(Query1[[#This Row],[Assignment 1 Score]],Query1[[#This Row],[Assignment 2 Score]],Query1[[#This Row],[Midterm Exam Score]])</f>
        <v>77</v>
      </c>
      <c r="Y285" t="str" cm="1">
        <f t="array" ref="Y28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285" s="3">
        <f>Query1[[#This Row],[Final Score]]*5/100</f>
        <v>3.85</v>
      </c>
      <c r="AA285" s="4">
        <v>0.94299999999999995</v>
      </c>
      <c r="AB285" s="4"/>
      <c r="AC285" s="5">
        <v>15032</v>
      </c>
      <c r="AD285" s="5">
        <v>0</v>
      </c>
      <c r="AE285" s="5">
        <f>Query1[[#This Row],[Tuition Fee]]-Query1[[#This Row],[Scholarship Amount]]</f>
        <v>15032</v>
      </c>
      <c r="AF285" t="s">
        <v>31</v>
      </c>
    </row>
    <row r="286" spans="1:32" x14ac:dyDescent="0.35">
      <c r="A286" t="s">
        <v>670</v>
      </c>
      <c r="B286" t="s">
        <v>1031</v>
      </c>
      <c r="C286" t="s">
        <v>1372</v>
      </c>
      <c r="D286" t="str">
        <f>LEFT(Query1[[#This Row],[First Name]],1) &amp; "." &amp; Query1[[#This Row],[Last Name]] &amp; "@university.edu"</f>
        <v>S.Wyse@university.edu</v>
      </c>
      <c r="E286" t="s">
        <v>32</v>
      </c>
      <c r="F286" s="1">
        <v>38646</v>
      </c>
      <c r="G286" s="2">
        <f ca="1">DATEDIF(Query1[[#This Row],[Date of Birth]],TODAY(),"Y")</f>
        <v>20</v>
      </c>
      <c r="H286" t="s">
        <v>113</v>
      </c>
      <c r="I286">
        <v>2019</v>
      </c>
      <c r="J286" t="s">
        <v>72</v>
      </c>
      <c r="K286" t="s">
        <v>73</v>
      </c>
      <c r="N286" t="s">
        <v>671</v>
      </c>
      <c r="O286" t="s">
        <v>75</v>
      </c>
      <c r="P286">
        <v>4</v>
      </c>
      <c r="Q286" t="s">
        <v>76</v>
      </c>
      <c r="R286" t="s">
        <v>77</v>
      </c>
      <c r="S286" t="s">
        <v>40</v>
      </c>
      <c r="T286" t="s">
        <v>78</v>
      </c>
      <c r="U286">
        <v>34</v>
      </c>
      <c r="V286">
        <v>79</v>
      </c>
      <c r="W286">
        <v>76</v>
      </c>
      <c r="X286" s="2">
        <f>AVERAGE(Query1[[#This Row],[Assignment 1 Score]],Query1[[#This Row],[Assignment 2 Score]],Query1[[#This Row],[Midterm Exam Score]])</f>
        <v>63</v>
      </c>
      <c r="Y286" t="str" cm="1">
        <f t="array" ref="Y28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286" s="3">
        <f>Query1[[#This Row],[Final Score]]*5/100</f>
        <v>3.15</v>
      </c>
      <c r="AA286" s="4">
        <v>0.89474999999999993</v>
      </c>
      <c r="AB286" s="4"/>
      <c r="AC286" s="5">
        <v>12555</v>
      </c>
      <c r="AD286" s="5">
        <v>2000</v>
      </c>
      <c r="AE286" s="5">
        <f>Query1[[#This Row],[Tuition Fee]]-Query1[[#This Row],[Scholarship Amount]]</f>
        <v>10555</v>
      </c>
      <c r="AF286" t="s">
        <v>60</v>
      </c>
    </row>
    <row r="287" spans="1:32" x14ac:dyDescent="0.35">
      <c r="A287" t="s">
        <v>672</v>
      </c>
      <c r="B287" t="s">
        <v>1032</v>
      </c>
      <c r="C287" t="s">
        <v>1373</v>
      </c>
      <c r="D287" t="str">
        <f>LEFT(Query1[[#This Row],[First Name]],1) &amp; "." &amp; Query1[[#This Row],[Last Name]] &amp; "@university.edu"</f>
        <v>V.Jorden@university.edu</v>
      </c>
      <c r="E287" t="s">
        <v>43</v>
      </c>
      <c r="F287" s="1">
        <v>38656</v>
      </c>
      <c r="G287" s="2">
        <f ca="1">DATEDIF(Query1[[#This Row],[Date of Birth]],TODAY(),"Y")</f>
        <v>20</v>
      </c>
      <c r="H287" t="s">
        <v>119</v>
      </c>
      <c r="I287">
        <v>2020</v>
      </c>
      <c r="J287" t="s">
        <v>34</v>
      </c>
      <c r="K287" t="s">
        <v>35</v>
      </c>
      <c r="N287" t="s">
        <v>673</v>
      </c>
      <c r="O287" t="s">
        <v>37</v>
      </c>
      <c r="P287">
        <v>3</v>
      </c>
      <c r="Q287" t="s">
        <v>82</v>
      </c>
      <c r="R287" t="s">
        <v>83</v>
      </c>
      <c r="S287" t="s">
        <v>29</v>
      </c>
      <c r="T287" t="s">
        <v>41</v>
      </c>
      <c r="U287">
        <v>56</v>
      </c>
      <c r="V287">
        <v>91</v>
      </c>
      <c r="W287">
        <v>90</v>
      </c>
      <c r="X287" s="2">
        <f>AVERAGE(Query1[[#This Row],[Assignment 1 Score]],Query1[[#This Row],[Assignment 2 Score]],Query1[[#This Row],[Midterm Exam Score]])</f>
        <v>79</v>
      </c>
      <c r="Y287" t="str" cm="1">
        <f t="array" ref="Y28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287" s="3">
        <f>Query1[[#This Row],[Final Score]]*5/100</f>
        <v>3.95</v>
      </c>
      <c r="AA287" s="4">
        <v>0.93099999999999994</v>
      </c>
      <c r="AB287" s="4"/>
      <c r="AC287" s="5">
        <v>12078</v>
      </c>
      <c r="AD287" s="5">
        <v>1000</v>
      </c>
      <c r="AE287" s="5">
        <f>Query1[[#This Row],[Tuition Fee]]-Query1[[#This Row],[Scholarship Amount]]</f>
        <v>11078</v>
      </c>
      <c r="AF287" t="s">
        <v>31</v>
      </c>
    </row>
    <row r="288" spans="1:32" x14ac:dyDescent="0.35">
      <c r="A288" t="s">
        <v>674</v>
      </c>
      <c r="B288" t="s">
        <v>1033</v>
      </c>
      <c r="C288" t="s">
        <v>1374</v>
      </c>
      <c r="D288" t="str">
        <f>LEFT(Query1[[#This Row],[First Name]],1) &amp; "." &amp; Query1[[#This Row],[Last Name]] &amp; "@university.edu"</f>
        <v>G.Greatbatch@university.edu</v>
      </c>
      <c r="E288" t="s">
        <v>32</v>
      </c>
      <c r="F288" s="1">
        <v>38666</v>
      </c>
      <c r="G288" s="2">
        <f ca="1">DATEDIF(Query1[[#This Row],[Date of Birth]],TODAY(),"Y")</f>
        <v>20</v>
      </c>
      <c r="H288" t="s">
        <v>124</v>
      </c>
      <c r="I288">
        <v>2021</v>
      </c>
      <c r="J288" t="s">
        <v>45</v>
      </c>
      <c r="K288" t="s">
        <v>86</v>
      </c>
      <c r="N288" t="s">
        <v>675</v>
      </c>
      <c r="O288" t="s">
        <v>88</v>
      </c>
      <c r="P288">
        <v>3</v>
      </c>
      <c r="Q288" t="s">
        <v>89</v>
      </c>
      <c r="R288" t="s">
        <v>90</v>
      </c>
      <c r="S288" t="s">
        <v>40</v>
      </c>
      <c r="T288" t="s">
        <v>51</v>
      </c>
      <c r="U288">
        <v>32</v>
      </c>
      <c r="V288">
        <v>76</v>
      </c>
      <c r="W288">
        <v>69</v>
      </c>
      <c r="X288" s="2">
        <f>AVERAGE(Query1[[#This Row],[Assignment 1 Score]],Query1[[#This Row],[Assignment 2 Score]],Query1[[#This Row],[Midterm Exam Score]])</f>
        <v>59</v>
      </c>
      <c r="Y288" t="str" cm="1">
        <f t="array" ref="Y28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88" s="3">
        <f>Query1[[#This Row],[Final Score]]*5/100</f>
        <v>2.95</v>
      </c>
      <c r="AA288" s="4">
        <v>0.88649999999999995</v>
      </c>
      <c r="AB288" s="4"/>
      <c r="AC288" s="5">
        <v>13101</v>
      </c>
      <c r="AD288" s="5">
        <v>5000</v>
      </c>
      <c r="AE288" s="5">
        <f>Query1[[#This Row],[Tuition Fee]]-Query1[[#This Row],[Scholarship Amount]]</f>
        <v>8101</v>
      </c>
      <c r="AF288" t="s">
        <v>31</v>
      </c>
    </row>
    <row r="289" spans="1:32" x14ac:dyDescent="0.35">
      <c r="A289" t="s">
        <v>676</v>
      </c>
      <c r="B289" t="s">
        <v>1034</v>
      </c>
      <c r="C289" t="s">
        <v>1375</v>
      </c>
      <c r="D289" t="str">
        <f>LEFT(Query1[[#This Row],[First Name]],1) &amp; "." &amp; Query1[[#This Row],[Last Name]] &amp; "@university.edu"</f>
        <v>A.McGougan@university.edu</v>
      </c>
      <c r="E289" t="s">
        <v>43</v>
      </c>
      <c r="F289" s="1">
        <v>38676</v>
      </c>
      <c r="G289" s="2">
        <f ca="1">DATEDIF(Query1[[#This Row],[Date of Birth]],TODAY(),"Y")</f>
        <v>20</v>
      </c>
      <c r="H289" t="s">
        <v>127</v>
      </c>
      <c r="I289">
        <v>2022</v>
      </c>
      <c r="J289" t="s">
        <v>54</v>
      </c>
      <c r="K289" t="s">
        <v>93</v>
      </c>
      <c r="N289" t="s">
        <v>677</v>
      </c>
      <c r="O289" t="s">
        <v>95</v>
      </c>
      <c r="P289">
        <v>3</v>
      </c>
      <c r="Q289" t="s">
        <v>38</v>
      </c>
      <c r="R289" t="s">
        <v>39</v>
      </c>
      <c r="S289" t="s">
        <v>29</v>
      </c>
      <c r="T289" t="s">
        <v>30</v>
      </c>
      <c r="U289">
        <v>44</v>
      </c>
      <c r="V289">
        <v>88</v>
      </c>
      <c r="W289">
        <v>83</v>
      </c>
      <c r="X289" s="2">
        <f>AVERAGE(Query1[[#This Row],[Assignment 1 Score]],Query1[[#This Row],[Assignment 2 Score]],Query1[[#This Row],[Midterm Exam Score]])</f>
        <v>71.666666666666671</v>
      </c>
      <c r="Y289" t="str" cm="1">
        <f t="array" ref="Y28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289" s="3">
        <f>Query1[[#This Row],[Final Score]]*5/100</f>
        <v>3.5833333333333339</v>
      </c>
      <c r="AA289" s="4">
        <v>0.92274999999999996</v>
      </c>
      <c r="AB289" s="4"/>
      <c r="AC289" s="5">
        <v>11124</v>
      </c>
      <c r="AD289" s="5">
        <v>0</v>
      </c>
      <c r="AE289" s="5">
        <f>Query1[[#This Row],[Tuition Fee]]-Query1[[#This Row],[Scholarship Amount]]</f>
        <v>11124</v>
      </c>
      <c r="AF289" t="s">
        <v>60</v>
      </c>
    </row>
    <row r="290" spans="1:32" x14ac:dyDescent="0.35">
      <c r="A290" t="s">
        <v>678</v>
      </c>
      <c r="B290" t="s">
        <v>1035</v>
      </c>
      <c r="C290" t="s">
        <v>1376</v>
      </c>
      <c r="D290" t="str">
        <f>LEFT(Query1[[#This Row],[First Name]],1) &amp; "." &amp; Query1[[#This Row],[Last Name]] &amp; "@university.edu"</f>
        <v>O.Karpychev@university.edu</v>
      </c>
      <c r="E290" t="s">
        <v>32</v>
      </c>
      <c r="F290" s="1">
        <v>38686</v>
      </c>
      <c r="G290" s="2">
        <f ca="1">DATEDIF(Query1[[#This Row],[Date of Birth]],TODAY(),"Y")</f>
        <v>19</v>
      </c>
      <c r="H290" t="s">
        <v>130</v>
      </c>
      <c r="I290">
        <v>2023</v>
      </c>
      <c r="J290" t="s">
        <v>63</v>
      </c>
      <c r="K290" t="s">
        <v>64</v>
      </c>
      <c r="N290" t="s">
        <v>679</v>
      </c>
      <c r="O290" t="s">
        <v>66</v>
      </c>
      <c r="P290">
        <v>5</v>
      </c>
      <c r="Q290" t="s">
        <v>49</v>
      </c>
      <c r="R290" t="s">
        <v>50</v>
      </c>
      <c r="S290" t="s">
        <v>40</v>
      </c>
      <c r="T290" t="s">
        <v>69</v>
      </c>
      <c r="U290">
        <v>70</v>
      </c>
      <c r="V290">
        <v>73</v>
      </c>
      <c r="W290">
        <v>78</v>
      </c>
      <c r="X290" s="2">
        <f>AVERAGE(Query1[[#This Row],[Assignment 1 Score]],Query1[[#This Row],[Assignment 2 Score]],Query1[[#This Row],[Midterm Exam Score]])</f>
        <v>73.666666666666671</v>
      </c>
      <c r="Y290" t="str" cm="1">
        <f t="array" ref="Y29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290" s="3">
        <f>Query1[[#This Row],[Final Score]]*5/100</f>
        <v>3.6833333333333336</v>
      </c>
      <c r="AA290" s="4">
        <v>0.88649999999999995</v>
      </c>
      <c r="AB290" s="4"/>
      <c r="AC290" s="5">
        <v>15147</v>
      </c>
      <c r="AD290" s="5">
        <v>1000</v>
      </c>
      <c r="AE290" s="5">
        <f>Query1[[#This Row],[Tuition Fee]]-Query1[[#This Row],[Scholarship Amount]]</f>
        <v>14147</v>
      </c>
      <c r="AF290" t="s">
        <v>31</v>
      </c>
    </row>
    <row r="291" spans="1:32" x14ac:dyDescent="0.35">
      <c r="A291" t="s">
        <v>680</v>
      </c>
      <c r="B291" t="s">
        <v>1036</v>
      </c>
      <c r="C291" t="s">
        <v>1377</v>
      </c>
      <c r="D291" t="str">
        <f>LEFT(Query1[[#This Row],[First Name]],1) &amp; "." &amp; Query1[[#This Row],[Last Name]] &amp; "@university.edu"</f>
        <v>R.Benley@university.edu</v>
      </c>
      <c r="E291" t="s">
        <v>43</v>
      </c>
      <c r="F291" s="1">
        <v>38696</v>
      </c>
      <c r="G291" s="2">
        <f ca="1">DATEDIF(Query1[[#This Row],[Date of Birth]],TODAY(),"Y")</f>
        <v>19</v>
      </c>
      <c r="H291" t="s">
        <v>33</v>
      </c>
      <c r="I291">
        <v>2019</v>
      </c>
      <c r="J291" t="s">
        <v>72</v>
      </c>
      <c r="K291" t="s">
        <v>73</v>
      </c>
      <c r="N291" t="s">
        <v>681</v>
      </c>
      <c r="O291" t="s">
        <v>75</v>
      </c>
      <c r="P291">
        <v>4</v>
      </c>
      <c r="Q291" t="s">
        <v>58</v>
      </c>
      <c r="R291" t="s">
        <v>59</v>
      </c>
      <c r="S291" t="s">
        <v>29</v>
      </c>
      <c r="T291" t="s">
        <v>78</v>
      </c>
      <c r="U291">
        <v>80</v>
      </c>
      <c r="V291">
        <v>93</v>
      </c>
      <c r="W291">
        <v>92</v>
      </c>
      <c r="X291" s="2">
        <f>AVERAGE(Query1[[#This Row],[Assignment 1 Score]],Query1[[#This Row],[Assignment 2 Score]],Query1[[#This Row],[Midterm Exam Score]])</f>
        <v>88.333333333333329</v>
      </c>
      <c r="Y291" t="str" cm="1">
        <f t="array" ref="Y29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291" s="3">
        <f>Query1[[#This Row],[Final Score]]*5/100</f>
        <v>4.4166666666666661</v>
      </c>
      <c r="AA291" s="4">
        <v>0.92574999999999996</v>
      </c>
      <c r="AB291" s="4"/>
      <c r="AC291" s="5">
        <v>12670</v>
      </c>
      <c r="AD291" s="5">
        <v>1000</v>
      </c>
      <c r="AE291" s="5">
        <f>Query1[[#This Row],[Tuition Fee]]-Query1[[#This Row],[Scholarship Amount]]</f>
        <v>11670</v>
      </c>
      <c r="AF291" t="s">
        <v>31</v>
      </c>
    </row>
    <row r="292" spans="1:32" x14ac:dyDescent="0.35">
      <c r="A292" t="s">
        <v>682</v>
      </c>
      <c r="B292" t="s">
        <v>1037</v>
      </c>
      <c r="C292" t="s">
        <v>1378</v>
      </c>
      <c r="D292" t="str">
        <f>LEFT(Query1[[#This Row],[First Name]],1) &amp; "." &amp; Query1[[#This Row],[Last Name]] &amp; "@university.edu"</f>
        <v>A.Rubinsohn@university.edu</v>
      </c>
      <c r="E292" t="s">
        <v>32</v>
      </c>
      <c r="F292" s="1">
        <v>38706</v>
      </c>
      <c r="G292" s="2">
        <f ca="1">DATEDIF(Query1[[#This Row],[Date of Birth]],TODAY(),"Y")</f>
        <v>19</v>
      </c>
      <c r="H292" t="s">
        <v>44</v>
      </c>
      <c r="I292">
        <v>2020</v>
      </c>
      <c r="J292" t="s">
        <v>34</v>
      </c>
      <c r="K292" t="s">
        <v>35</v>
      </c>
      <c r="N292" t="s">
        <v>683</v>
      </c>
      <c r="O292" t="s">
        <v>37</v>
      </c>
      <c r="P292">
        <v>3</v>
      </c>
      <c r="Q292" t="s">
        <v>67</v>
      </c>
      <c r="R292" t="s">
        <v>68</v>
      </c>
      <c r="S292" t="s">
        <v>40</v>
      </c>
      <c r="T292" t="s">
        <v>41</v>
      </c>
      <c r="U292">
        <v>45</v>
      </c>
      <c r="V292">
        <v>70</v>
      </c>
      <c r="W292">
        <v>71</v>
      </c>
      <c r="X292" s="2">
        <f>AVERAGE(Query1[[#This Row],[Assignment 1 Score]],Query1[[#This Row],[Assignment 2 Score]],Query1[[#This Row],[Midterm Exam Score]])</f>
        <v>62</v>
      </c>
      <c r="Y292" t="str" cm="1">
        <f t="array" ref="Y29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292" s="3">
        <f>Query1[[#This Row],[Final Score]]*5/100</f>
        <v>3.1</v>
      </c>
      <c r="AA292" s="4">
        <v>0.87824999999999998</v>
      </c>
      <c r="AB292" s="4"/>
      <c r="AC292" s="5">
        <v>12193</v>
      </c>
      <c r="AD292" s="5">
        <v>2000</v>
      </c>
      <c r="AE292" s="5">
        <f>Query1[[#This Row],[Tuition Fee]]-Query1[[#This Row],[Scholarship Amount]]</f>
        <v>10193</v>
      </c>
      <c r="AF292" t="s">
        <v>60</v>
      </c>
    </row>
    <row r="293" spans="1:32" x14ac:dyDescent="0.35">
      <c r="A293" t="s">
        <v>684</v>
      </c>
      <c r="B293" t="s">
        <v>1038</v>
      </c>
      <c r="C293" t="s">
        <v>1379</v>
      </c>
      <c r="D293" t="str">
        <f>LEFT(Query1[[#This Row],[First Name]],1) &amp; "." &amp; Query1[[#This Row],[Last Name]] &amp; "@university.edu"</f>
        <v>L.Lawlor@university.edu</v>
      </c>
      <c r="E293" t="s">
        <v>43</v>
      </c>
      <c r="F293" s="1">
        <v>38716</v>
      </c>
      <c r="G293" s="2">
        <f ca="1">DATEDIF(Query1[[#This Row],[Date of Birth]],TODAY(),"Y")</f>
        <v>19</v>
      </c>
      <c r="H293" t="s">
        <v>53</v>
      </c>
      <c r="I293">
        <v>2021</v>
      </c>
      <c r="J293" t="s">
        <v>45</v>
      </c>
      <c r="K293" t="s">
        <v>109</v>
      </c>
      <c r="N293" t="s">
        <v>685</v>
      </c>
      <c r="O293" t="s">
        <v>111</v>
      </c>
      <c r="P293">
        <v>3</v>
      </c>
      <c r="Q293" t="s">
        <v>76</v>
      </c>
      <c r="R293" t="s">
        <v>77</v>
      </c>
      <c r="S293" t="s">
        <v>29</v>
      </c>
      <c r="T293" t="s">
        <v>51</v>
      </c>
      <c r="U293">
        <v>34</v>
      </c>
      <c r="V293">
        <v>90</v>
      </c>
      <c r="W293">
        <v>85</v>
      </c>
      <c r="X293" s="2">
        <f>AVERAGE(Query1[[#This Row],[Assignment 1 Score]],Query1[[#This Row],[Assignment 2 Score]],Query1[[#This Row],[Midterm Exam Score]])</f>
        <v>69.666666666666671</v>
      </c>
      <c r="Y293" t="str" cm="1">
        <f t="array" ref="Y29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93" s="3">
        <f>Query1[[#This Row],[Final Score]]*5/100</f>
        <v>3.4833333333333338</v>
      </c>
      <c r="AA293" s="4">
        <v>0.91749999999999998</v>
      </c>
      <c r="AB293" s="4"/>
      <c r="AC293" s="5">
        <v>13216</v>
      </c>
      <c r="AD293" s="5">
        <v>0</v>
      </c>
      <c r="AE293" s="5">
        <f>Query1[[#This Row],[Tuition Fee]]-Query1[[#This Row],[Scholarship Amount]]</f>
        <v>13216</v>
      </c>
      <c r="AF293" t="s">
        <v>31</v>
      </c>
    </row>
    <row r="294" spans="1:32" x14ac:dyDescent="0.35">
      <c r="A294" t="s">
        <v>686</v>
      </c>
      <c r="B294" t="s">
        <v>1039</v>
      </c>
      <c r="C294" t="s">
        <v>1380</v>
      </c>
      <c r="D294" t="str">
        <f>LEFT(Query1[[#This Row],[First Name]],1) &amp; "." &amp; Query1[[#This Row],[Last Name]] &amp; "@university.edu"</f>
        <v>D.Whitebrook@university.edu</v>
      </c>
      <c r="E294" t="s">
        <v>32</v>
      </c>
      <c r="F294" s="1">
        <v>38726</v>
      </c>
      <c r="G294" s="2">
        <f ca="1">DATEDIF(Query1[[#This Row],[Date of Birth]],TODAY(),"Y")</f>
        <v>19</v>
      </c>
      <c r="H294" t="s">
        <v>62</v>
      </c>
      <c r="I294">
        <v>2022</v>
      </c>
      <c r="J294" t="s">
        <v>54</v>
      </c>
      <c r="K294" t="s">
        <v>114</v>
      </c>
      <c r="N294" t="s">
        <v>687</v>
      </c>
      <c r="O294" t="s">
        <v>116</v>
      </c>
      <c r="P294">
        <v>3</v>
      </c>
      <c r="Q294" t="s">
        <v>82</v>
      </c>
      <c r="R294" t="s">
        <v>83</v>
      </c>
      <c r="S294" t="s">
        <v>40</v>
      </c>
      <c r="T294" t="s">
        <v>30</v>
      </c>
      <c r="U294">
        <v>33</v>
      </c>
      <c r="V294">
        <v>75</v>
      </c>
      <c r="W294">
        <v>64</v>
      </c>
      <c r="X294" s="2">
        <f>AVERAGE(Query1[[#This Row],[Assignment 1 Score]],Query1[[#This Row],[Assignment 2 Score]],Query1[[#This Row],[Midterm Exam Score]])</f>
        <v>57.333333333333336</v>
      </c>
      <c r="Y294" t="str" cm="1">
        <f t="array" ref="Y29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94" s="3">
        <f>Query1[[#This Row],[Final Score]]*5/100</f>
        <v>2.8666666666666667</v>
      </c>
      <c r="AA294" s="4">
        <v>0.86924999999999997</v>
      </c>
      <c r="AB294" s="4"/>
      <c r="AC294" s="5">
        <v>11239</v>
      </c>
      <c r="AD294" s="5">
        <v>1000</v>
      </c>
      <c r="AE294" s="5">
        <f>Query1[[#This Row],[Tuition Fee]]-Query1[[#This Row],[Scholarship Amount]]</f>
        <v>10239</v>
      </c>
      <c r="AF294" t="s">
        <v>31</v>
      </c>
    </row>
    <row r="295" spans="1:32" x14ac:dyDescent="0.35">
      <c r="A295" t="s">
        <v>688</v>
      </c>
      <c r="B295" t="s">
        <v>1040</v>
      </c>
      <c r="C295" t="s">
        <v>1381</v>
      </c>
      <c r="D295" t="str">
        <f>LEFT(Query1[[#This Row],[First Name]],1) &amp; "." &amp; Query1[[#This Row],[Last Name]] &amp; "@university.edu"</f>
        <v>J.Valentinuzzi@university.edu</v>
      </c>
      <c r="E295" t="s">
        <v>43</v>
      </c>
      <c r="F295" s="1">
        <v>38736</v>
      </c>
      <c r="G295" s="2">
        <f ca="1">DATEDIF(Query1[[#This Row],[Date of Birth]],TODAY(),"Y")</f>
        <v>19</v>
      </c>
      <c r="H295" t="s">
        <v>71</v>
      </c>
      <c r="I295">
        <v>2023</v>
      </c>
      <c r="J295" t="s">
        <v>63</v>
      </c>
      <c r="K295" t="s">
        <v>98</v>
      </c>
      <c r="N295" t="s">
        <v>689</v>
      </c>
      <c r="O295" t="s">
        <v>100</v>
      </c>
      <c r="P295">
        <v>5</v>
      </c>
      <c r="Q295" t="s">
        <v>89</v>
      </c>
      <c r="R295" t="s">
        <v>90</v>
      </c>
      <c r="S295" t="s">
        <v>29</v>
      </c>
      <c r="T295" t="s">
        <v>69</v>
      </c>
      <c r="U295">
        <v>31</v>
      </c>
      <c r="V295">
        <v>50</v>
      </c>
      <c r="W295">
        <v>94</v>
      </c>
      <c r="X295" s="2">
        <f>AVERAGE(Query1[[#This Row],[Assignment 1 Score]],Query1[[#This Row],[Assignment 2 Score]],Query1[[#This Row],[Midterm Exam Score]])</f>
        <v>58.333333333333336</v>
      </c>
      <c r="Y295" t="str" cm="1">
        <f t="array" ref="Y29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95" s="3">
        <f>Query1[[#This Row],[Final Score]]*5/100</f>
        <v>2.916666666666667</v>
      </c>
      <c r="AA295" s="4">
        <v>0.9212499999999999</v>
      </c>
      <c r="AB295" s="4"/>
      <c r="AC295" s="5">
        <v>15262</v>
      </c>
      <c r="AD295" s="5">
        <v>5000</v>
      </c>
      <c r="AE295" s="5">
        <f>Query1[[#This Row],[Tuition Fee]]-Query1[[#This Row],[Scholarship Amount]]</f>
        <v>10262</v>
      </c>
      <c r="AF295" t="s">
        <v>60</v>
      </c>
    </row>
    <row r="296" spans="1:32" x14ac:dyDescent="0.35">
      <c r="A296" t="s">
        <v>690</v>
      </c>
      <c r="B296" t="s">
        <v>1041</v>
      </c>
      <c r="C296" t="s">
        <v>1382</v>
      </c>
      <c r="D296" t="str">
        <f>LEFT(Query1[[#This Row],[First Name]],1) &amp; "." &amp; Query1[[#This Row],[Last Name]] &amp; "@university.edu"</f>
        <v>T.Whyman@university.edu</v>
      </c>
      <c r="E296" t="s">
        <v>32</v>
      </c>
      <c r="F296" s="1">
        <v>38746</v>
      </c>
      <c r="G296" s="2">
        <f ca="1">DATEDIF(Query1[[#This Row],[Date of Birth]],TODAY(),"Y")</f>
        <v>19</v>
      </c>
      <c r="H296" t="s">
        <v>80</v>
      </c>
      <c r="I296">
        <v>2019</v>
      </c>
      <c r="J296" t="s">
        <v>72</v>
      </c>
      <c r="K296" t="s">
        <v>73</v>
      </c>
      <c r="N296" t="s">
        <v>691</v>
      </c>
      <c r="O296" t="s">
        <v>75</v>
      </c>
      <c r="P296">
        <v>4</v>
      </c>
      <c r="Q296" t="s">
        <v>38</v>
      </c>
      <c r="R296" t="s">
        <v>39</v>
      </c>
      <c r="S296" t="s">
        <v>40</v>
      </c>
      <c r="T296" t="s">
        <v>78</v>
      </c>
      <c r="U296">
        <v>36</v>
      </c>
      <c r="V296">
        <v>60</v>
      </c>
      <c r="W296">
        <v>73</v>
      </c>
      <c r="X296" s="2">
        <f>AVERAGE(Query1[[#This Row],[Assignment 1 Score]],Query1[[#This Row],[Assignment 2 Score]],Query1[[#This Row],[Midterm Exam Score]])</f>
        <v>56.333333333333336</v>
      </c>
      <c r="Y296" t="str" cm="1">
        <f t="array" ref="Y29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96" s="3">
        <f>Query1[[#This Row],[Final Score]]*5/100</f>
        <v>2.8166666666666669</v>
      </c>
      <c r="AA296" s="4">
        <v>0.87299999999999989</v>
      </c>
      <c r="AB296" s="4"/>
      <c r="AC296" s="5">
        <v>12785</v>
      </c>
      <c r="AD296" s="5">
        <v>1000</v>
      </c>
      <c r="AE296" s="5">
        <f>Query1[[#This Row],[Tuition Fee]]-Query1[[#This Row],[Scholarship Amount]]</f>
        <v>11785</v>
      </c>
      <c r="AF296" t="s">
        <v>31</v>
      </c>
    </row>
    <row r="297" spans="1:32" x14ac:dyDescent="0.35">
      <c r="A297" t="s">
        <v>692</v>
      </c>
      <c r="B297" t="s">
        <v>984</v>
      </c>
      <c r="C297" t="s">
        <v>1383</v>
      </c>
      <c r="D297" t="str">
        <f>LEFT(Query1[[#This Row],[First Name]],1) &amp; "." &amp; Query1[[#This Row],[Last Name]] &amp; "@university.edu"</f>
        <v>A.Baylis@university.edu</v>
      </c>
      <c r="E297" t="s">
        <v>43</v>
      </c>
      <c r="F297" s="1">
        <v>38756</v>
      </c>
      <c r="G297" s="2">
        <f ca="1">DATEDIF(Query1[[#This Row],[Date of Birth]],TODAY(),"Y")</f>
        <v>19</v>
      </c>
      <c r="H297" t="s">
        <v>85</v>
      </c>
      <c r="I297">
        <v>2020</v>
      </c>
      <c r="J297" t="s">
        <v>34</v>
      </c>
      <c r="K297" t="s">
        <v>35</v>
      </c>
      <c r="N297" t="s">
        <v>693</v>
      </c>
      <c r="O297" t="s">
        <v>37</v>
      </c>
      <c r="P297">
        <v>3</v>
      </c>
      <c r="Q297" t="s">
        <v>49</v>
      </c>
      <c r="R297" t="s">
        <v>50</v>
      </c>
      <c r="S297" t="s">
        <v>29</v>
      </c>
      <c r="T297" t="s">
        <v>41</v>
      </c>
      <c r="U297">
        <v>76</v>
      </c>
      <c r="V297">
        <v>41</v>
      </c>
      <c r="W297">
        <v>87</v>
      </c>
      <c r="X297" s="2">
        <f>AVERAGE(Query1[[#This Row],[Assignment 1 Score]],Query1[[#This Row],[Assignment 2 Score]],Query1[[#This Row],[Midterm Exam Score]])</f>
        <v>68</v>
      </c>
      <c r="Y297" t="str" cm="1">
        <f t="array" ref="Y29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297" s="3">
        <f>Query1[[#This Row],[Final Score]]*5/100</f>
        <v>3.4</v>
      </c>
      <c r="AA297" s="4">
        <v>0.90924999999999989</v>
      </c>
      <c r="AB297" s="4"/>
      <c r="AC297" s="5">
        <v>12308</v>
      </c>
      <c r="AD297" s="5">
        <v>0</v>
      </c>
      <c r="AE297" s="5">
        <f>Query1[[#This Row],[Tuition Fee]]-Query1[[#This Row],[Scholarship Amount]]</f>
        <v>12308</v>
      </c>
      <c r="AF297" t="s">
        <v>31</v>
      </c>
    </row>
    <row r="298" spans="1:32" x14ac:dyDescent="0.35">
      <c r="A298" t="s">
        <v>694</v>
      </c>
      <c r="B298" t="s">
        <v>1042</v>
      </c>
      <c r="C298" t="s">
        <v>1384</v>
      </c>
      <c r="D298" t="str">
        <f>LEFT(Query1[[#This Row],[First Name]],1) &amp; "." &amp; Query1[[#This Row],[Last Name]] &amp; "@university.edu"</f>
        <v>J.Hughill@university.edu</v>
      </c>
      <c r="E298" t="s">
        <v>32</v>
      </c>
      <c r="F298" s="1">
        <v>38766</v>
      </c>
      <c r="G298" s="2">
        <f ca="1">DATEDIF(Query1[[#This Row],[Date of Birth]],TODAY(),"Y")</f>
        <v>19</v>
      </c>
      <c r="H298" t="s">
        <v>92</v>
      </c>
      <c r="I298">
        <v>2021</v>
      </c>
      <c r="J298" t="s">
        <v>45</v>
      </c>
      <c r="K298" t="s">
        <v>131</v>
      </c>
      <c r="N298" t="s">
        <v>695</v>
      </c>
      <c r="O298" t="s">
        <v>133</v>
      </c>
      <c r="P298">
        <v>3</v>
      </c>
      <c r="Q298" t="s">
        <v>58</v>
      </c>
      <c r="R298" t="s">
        <v>59</v>
      </c>
      <c r="S298" t="s">
        <v>40</v>
      </c>
      <c r="T298" t="s">
        <v>51</v>
      </c>
      <c r="U298">
        <v>40</v>
      </c>
      <c r="V298">
        <v>38</v>
      </c>
      <c r="W298">
        <v>66</v>
      </c>
      <c r="X298" s="2">
        <f>AVERAGE(Query1[[#This Row],[Assignment 1 Score]],Query1[[#This Row],[Assignment 2 Score]],Query1[[#This Row],[Midterm Exam Score]])</f>
        <v>48</v>
      </c>
      <c r="Y298" t="str" cm="1">
        <f t="array" ref="Y29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D</v>
      </c>
      <c r="Z298" s="3">
        <f>Query1[[#This Row],[Final Score]]*5/100</f>
        <v>2.4</v>
      </c>
      <c r="AA298" s="4">
        <v>0.8</v>
      </c>
      <c r="AB298" s="4"/>
      <c r="AC298" s="5">
        <v>13331</v>
      </c>
      <c r="AD298" s="5">
        <v>2000</v>
      </c>
      <c r="AE298" s="5">
        <f>Query1[[#This Row],[Tuition Fee]]-Query1[[#This Row],[Scholarship Amount]]</f>
        <v>11331</v>
      </c>
      <c r="AF298" t="s">
        <v>60</v>
      </c>
    </row>
    <row r="299" spans="1:32" x14ac:dyDescent="0.35">
      <c r="A299" t="s">
        <v>696</v>
      </c>
      <c r="B299" t="s">
        <v>1043</v>
      </c>
      <c r="C299" t="s">
        <v>1385</v>
      </c>
      <c r="D299" t="str">
        <f>LEFT(Query1[[#This Row],[First Name]],1) &amp; "." &amp; Query1[[#This Row],[Last Name]] &amp; "@university.edu"</f>
        <v>A.Clementucci@university.edu</v>
      </c>
      <c r="E299" t="s">
        <v>43</v>
      </c>
      <c r="F299" s="1">
        <v>38776</v>
      </c>
      <c r="G299" s="2">
        <f ca="1">DATEDIF(Query1[[#This Row],[Date of Birth]],TODAY(),"Y")</f>
        <v>19</v>
      </c>
      <c r="H299" t="s">
        <v>97</v>
      </c>
      <c r="I299">
        <v>2022</v>
      </c>
      <c r="J299" t="s">
        <v>54</v>
      </c>
      <c r="K299" t="s">
        <v>135</v>
      </c>
      <c r="N299" t="s">
        <v>697</v>
      </c>
      <c r="O299" t="s">
        <v>137</v>
      </c>
      <c r="P299">
        <v>3</v>
      </c>
      <c r="Q299" t="s">
        <v>67</v>
      </c>
      <c r="R299" t="s">
        <v>68</v>
      </c>
      <c r="S299" t="s">
        <v>29</v>
      </c>
      <c r="T299" t="s">
        <v>30</v>
      </c>
      <c r="U299">
        <v>34</v>
      </c>
      <c r="V299">
        <v>59</v>
      </c>
      <c r="W299">
        <v>80</v>
      </c>
      <c r="X299" s="2">
        <f>AVERAGE(Query1[[#This Row],[Assignment 1 Score]],Query1[[#This Row],[Assignment 2 Score]],Query1[[#This Row],[Midterm Exam Score]])</f>
        <v>57.666666666666664</v>
      </c>
      <c r="Y299" t="str" cm="1">
        <f t="array" ref="Y29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299" s="3">
        <f>Query1[[#This Row],[Final Score]]*5/100</f>
        <v>2.8833333333333333</v>
      </c>
      <c r="AA299" s="4">
        <v>0.90399999999999991</v>
      </c>
      <c r="AB299" s="4"/>
      <c r="AC299" s="5">
        <v>11354</v>
      </c>
      <c r="AD299" s="5">
        <v>1000</v>
      </c>
      <c r="AE299" s="5">
        <f>Query1[[#This Row],[Tuition Fee]]-Query1[[#This Row],[Scholarship Amount]]</f>
        <v>10354</v>
      </c>
      <c r="AF299" t="s">
        <v>31</v>
      </c>
    </row>
    <row r="300" spans="1:32" x14ac:dyDescent="0.35">
      <c r="A300" t="s">
        <v>698</v>
      </c>
      <c r="B300" t="s">
        <v>1044</v>
      </c>
      <c r="C300" t="s">
        <v>1386</v>
      </c>
      <c r="D300" t="str">
        <f>LEFT(Query1[[#This Row],[First Name]],1) &amp; "." &amp; Query1[[#This Row],[Last Name]] &amp; "@university.edu"</f>
        <v>L.Oven@university.edu</v>
      </c>
      <c r="E300" t="s">
        <v>32</v>
      </c>
      <c r="F300" s="1">
        <v>38786</v>
      </c>
      <c r="G300" s="2">
        <f ca="1">DATEDIF(Query1[[#This Row],[Date of Birth]],TODAY(),"Y")</f>
        <v>19</v>
      </c>
      <c r="H300" t="s">
        <v>102</v>
      </c>
      <c r="I300">
        <v>2023</v>
      </c>
      <c r="J300" t="s">
        <v>63</v>
      </c>
      <c r="K300" t="s">
        <v>120</v>
      </c>
      <c r="N300" t="s">
        <v>699</v>
      </c>
      <c r="O300" t="s">
        <v>122</v>
      </c>
      <c r="P300">
        <v>5</v>
      </c>
      <c r="Q300" t="s">
        <v>76</v>
      </c>
      <c r="R300" t="s">
        <v>77</v>
      </c>
      <c r="S300" t="s">
        <v>40</v>
      </c>
      <c r="T300" t="s">
        <v>69</v>
      </c>
      <c r="U300">
        <v>56</v>
      </c>
      <c r="V300">
        <v>40</v>
      </c>
      <c r="W300">
        <v>75</v>
      </c>
      <c r="X300" s="2">
        <f>AVERAGE(Query1[[#This Row],[Assignment 1 Score]],Query1[[#This Row],[Assignment 2 Score]],Query1[[#This Row],[Midterm Exam Score]])</f>
        <v>57</v>
      </c>
      <c r="Y300" t="str" cm="1">
        <f t="array" ref="Y30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300" s="3">
        <f>Query1[[#This Row],[Final Score]]*5/100</f>
        <v>2.85</v>
      </c>
      <c r="AA300" s="4">
        <v>0.86474999999999991</v>
      </c>
      <c r="AB300" s="4"/>
      <c r="AC300" s="5">
        <v>15377</v>
      </c>
      <c r="AD300" s="5">
        <v>1000</v>
      </c>
      <c r="AE300" s="5">
        <f>Query1[[#This Row],[Tuition Fee]]-Query1[[#This Row],[Scholarship Amount]]</f>
        <v>14377</v>
      </c>
      <c r="AF300" t="s">
        <v>31</v>
      </c>
    </row>
    <row r="301" spans="1:32" x14ac:dyDescent="0.35">
      <c r="A301" t="s">
        <v>700</v>
      </c>
      <c r="B301" t="s">
        <v>1045</v>
      </c>
      <c r="C301" t="s">
        <v>1387</v>
      </c>
      <c r="D301" t="str">
        <f>LEFT(Query1[[#This Row],[First Name]],1) &amp; "." &amp; Query1[[#This Row],[Last Name]] &amp; "@university.edu"</f>
        <v>P.Shemming@university.edu</v>
      </c>
      <c r="E301" t="s">
        <v>43</v>
      </c>
      <c r="F301" s="1">
        <v>38796</v>
      </c>
      <c r="G301" s="2">
        <f ca="1">DATEDIF(Query1[[#This Row],[Date of Birth]],TODAY(),"Y")</f>
        <v>19</v>
      </c>
      <c r="H301" t="s">
        <v>105</v>
      </c>
      <c r="I301">
        <v>2019</v>
      </c>
      <c r="J301" t="s">
        <v>72</v>
      </c>
      <c r="K301" t="s">
        <v>73</v>
      </c>
      <c r="N301" t="s">
        <v>701</v>
      </c>
      <c r="O301" t="s">
        <v>75</v>
      </c>
      <c r="P301">
        <v>4</v>
      </c>
      <c r="Q301" t="s">
        <v>82</v>
      </c>
      <c r="R301" t="s">
        <v>83</v>
      </c>
      <c r="S301" t="s">
        <v>29</v>
      </c>
      <c r="T301" t="s">
        <v>78</v>
      </c>
      <c r="U301">
        <v>32</v>
      </c>
      <c r="V301">
        <v>34</v>
      </c>
      <c r="W301">
        <v>89</v>
      </c>
      <c r="X301" s="2">
        <f>AVERAGE(Query1[[#This Row],[Assignment 1 Score]],Query1[[#This Row],[Assignment 2 Score]],Query1[[#This Row],[Midterm Exam Score]])</f>
        <v>51.666666666666664</v>
      </c>
      <c r="Y301" t="str" cm="1">
        <f t="array" ref="Y30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301" s="3">
        <f>Query1[[#This Row],[Final Score]]*5/100</f>
        <v>2.583333333333333</v>
      </c>
      <c r="AA301" s="4">
        <v>0.90399999999999991</v>
      </c>
      <c r="AB301" s="4"/>
      <c r="AC301" s="5">
        <v>12900</v>
      </c>
      <c r="AD301" s="5">
        <v>0</v>
      </c>
      <c r="AE301" s="5">
        <f>Query1[[#This Row],[Tuition Fee]]-Query1[[#This Row],[Scholarship Amount]]</f>
        <v>12900</v>
      </c>
      <c r="AF301" t="s">
        <v>60</v>
      </c>
    </row>
    <row r="302" spans="1:32" x14ac:dyDescent="0.35">
      <c r="A302" t="s">
        <v>702</v>
      </c>
      <c r="B302" t="s">
        <v>1046</v>
      </c>
      <c r="C302" t="s">
        <v>1388</v>
      </c>
      <c r="D302" t="str">
        <f>LEFT(Query1[[#This Row],[First Name]],1) &amp; "." &amp; Query1[[#This Row],[Last Name]] &amp; "@university.edu"</f>
        <v>A.Ozelton@university.edu</v>
      </c>
      <c r="E302" t="s">
        <v>32</v>
      </c>
      <c r="F302" s="1">
        <v>38806</v>
      </c>
      <c r="G302" s="2">
        <f ca="1">DATEDIF(Query1[[#This Row],[Date of Birth]],TODAY(),"Y")</f>
        <v>19</v>
      </c>
      <c r="H302" t="s">
        <v>108</v>
      </c>
      <c r="I302">
        <v>2020</v>
      </c>
      <c r="J302" t="s">
        <v>34</v>
      </c>
      <c r="K302" t="s">
        <v>35</v>
      </c>
      <c r="N302" t="s">
        <v>36</v>
      </c>
      <c r="O302" t="s">
        <v>37</v>
      </c>
      <c r="P302">
        <v>3</v>
      </c>
      <c r="Q302" t="s">
        <v>89</v>
      </c>
      <c r="R302" t="s">
        <v>90</v>
      </c>
      <c r="S302" t="s">
        <v>40</v>
      </c>
      <c r="T302" t="s">
        <v>41</v>
      </c>
      <c r="U302">
        <v>44</v>
      </c>
      <c r="V302">
        <v>56</v>
      </c>
      <c r="W302">
        <v>68</v>
      </c>
      <c r="X302" s="2">
        <f>AVERAGE(Query1[[#This Row],[Assignment 1 Score]],Query1[[#This Row],[Assignment 2 Score]],Query1[[#This Row],[Midterm Exam Score]])</f>
        <v>56</v>
      </c>
      <c r="Y302" t="str" cm="1">
        <f t="array" ref="Y30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302" s="3">
        <f>Query1[[#This Row],[Final Score]]*5/100</f>
        <v>2.8</v>
      </c>
      <c r="AA302" s="4">
        <v>0.87949999999999995</v>
      </c>
      <c r="AB302" s="4"/>
      <c r="AC302" s="5">
        <v>12423</v>
      </c>
      <c r="AD302" s="5">
        <v>5000</v>
      </c>
      <c r="AE302" s="5">
        <f>Query1[[#This Row],[Tuition Fee]]-Query1[[#This Row],[Scholarship Amount]]</f>
        <v>7423</v>
      </c>
      <c r="AF302" t="s">
        <v>31</v>
      </c>
    </row>
    <row r="303" spans="1:32" x14ac:dyDescent="0.35">
      <c r="A303" t="s">
        <v>703</v>
      </c>
      <c r="B303" t="s">
        <v>1047</v>
      </c>
      <c r="C303" t="s">
        <v>1389</v>
      </c>
      <c r="D303" t="str">
        <f>LEFT(Query1[[#This Row],[First Name]],1) &amp; "." &amp; Query1[[#This Row],[Last Name]] &amp; "@university.edu"</f>
        <v>A.Winscomb@university.edu</v>
      </c>
      <c r="E303" t="s">
        <v>43</v>
      </c>
      <c r="F303" s="1">
        <v>38816</v>
      </c>
      <c r="G303" s="2">
        <f ca="1">DATEDIF(Query1[[#This Row],[Date of Birth]],TODAY(),"Y")</f>
        <v>19</v>
      </c>
      <c r="H303" t="s">
        <v>113</v>
      </c>
      <c r="I303">
        <v>2021</v>
      </c>
      <c r="J303" t="s">
        <v>45</v>
      </c>
      <c r="K303" t="s">
        <v>46</v>
      </c>
      <c r="N303" t="s">
        <v>47</v>
      </c>
      <c r="O303" t="s">
        <v>48</v>
      </c>
      <c r="P303">
        <v>3</v>
      </c>
      <c r="Q303" t="s">
        <v>38</v>
      </c>
      <c r="R303" t="s">
        <v>39</v>
      </c>
      <c r="S303" t="s">
        <v>29</v>
      </c>
      <c r="T303" t="s">
        <v>51</v>
      </c>
      <c r="U303">
        <v>70</v>
      </c>
      <c r="V303">
        <v>32</v>
      </c>
      <c r="W303">
        <v>82</v>
      </c>
      <c r="X303" s="2">
        <f>AVERAGE(Query1[[#This Row],[Assignment 1 Score]],Query1[[#This Row],[Assignment 2 Score]],Query1[[#This Row],[Midterm Exam Score]])</f>
        <v>61.333333333333336</v>
      </c>
      <c r="Y303" t="str" cm="1">
        <f t="array" ref="Y30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303" s="3">
        <f>Query1[[#This Row],[Final Score]]*5/100</f>
        <v>3.0666666666666669</v>
      </c>
      <c r="AA303" s="4">
        <v>0.91574999999999995</v>
      </c>
      <c r="AB303" s="4"/>
      <c r="AC303" s="5">
        <v>13446</v>
      </c>
      <c r="AD303" s="5">
        <v>1000</v>
      </c>
      <c r="AE303" s="5">
        <f>Query1[[#This Row],[Tuition Fee]]-Query1[[#This Row],[Scholarship Amount]]</f>
        <v>12446</v>
      </c>
      <c r="AF303" t="s">
        <v>31</v>
      </c>
    </row>
    <row r="304" spans="1:32" x14ac:dyDescent="0.35">
      <c r="A304" t="s">
        <v>704</v>
      </c>
      <c r="B304" t="s">
        <v>848</v>
      </c>
      <c r="C304" t="s">
        <v>1390</v>
      </c>
      <c r="D304" t="str">
        <f>LEFT(Query1[[#This Row],[First Name]],1) &amp; "." &amp; Query1[[#This Row],[Last Name]] &amp; "@university.edu"</f>
        <v>B.Abberley@university.edu</v>
      </c>
      <c r="E304" t="s">
        <v>32</v>
      </c>
      <c r="F304" s="1">
        <v>38826</v>
      </c>
      <c r="G304" s="2">
        <f ca="1">DATEDIF(Query1[[#This Row],[Date of Birth]],TODAY(),"Y")</f>
        <v>19</v>
      </c>
      <c r="H304" t="s">
        <v>119</v>
      </c>
      <c r="I304">
        <v>2022</v>
      </c>
      <c r="J304" t="s">
        <v>54</v>
      </c>
      <c r="K304" t="s">
        <v>55</v>
      </c>
      <c r="N304" t="s">
        <v>56</v>
      </c>
      <c r="O304" t="s">
        <v>57</v>
      </c>
      <c r="P304">
        <v>3</v>
      </c>
      <c r="Q304" t="s">
        <v>49</v>
      </c>
      <c r="R304" t="s">
        <v>50</v>
      </c>
      <c r="S304" t="s">
        <v>40</v>
      </c>
      <c r="T304" t="s">
        <v>30</v>
      </c>
      <c r="U304">
        <v>50</v>
      </c>
      <c r="V304">
        <v>44</v>
      </c>
      <c r="W304">
        <v>61</v>
      </c>
      <c r="X304" s="2">
        <f>AVERAGE(Query1[[#This Row],[Assignment 1 Score]],Query1[[#This Row],[Assignment 2 Score]],Query1[[#This Row],[Midterm Exam Score]])</f>
        <v>51.666666666666664</v>
      </c>
      <c r="Y304" t="str" cm="1">
        <f t="array" ref="Y30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304" s="3">
        <f>Query1[[#This Row],[Final Score]]*5/100</f>
        <v>2.583333333333333</v>
      </c>
      <c r="AA304" s="4">
        <v>0.86749999999999994</v>
      </c>
      <c r="AB304" s="4"/>
      <c r="AC304" s="5">
        <v>11469</v>
      </c>
      <c r="AD304" s="5">
        <v>2000</v>
      </c>
      <c r="AE304" s="5">
        <f>Query1[[#This Row],[Tuition Fee]]-Query1[[#This Row],[Scholarship Amount]]</f>
        <v>9469</v>
      </c>
      <c r="AF304" t="s">
        <v>60</v>
      </c>
    </row>
    <row r="305" spans="1:32" x14ac:dyDescent="0.35">
      <c r="A305" t="s">
        <v>705</v>
      </c>
      <c r="B305" t="s">
        <v>1048</v>
      </c>
      <c r="C305" t="s">
        <v>1391</v>
      </c>
      <c r="D305" t="str">
        <f>LEFT(Query1[[#This Row],[First Name]],1) &amp; "." &amp; Query1[[#This Row],[Last Name]] &amp; "@university.edu"</f>
        <v>R.Jerrand@university.edu</v>
      </c>
      <c r="E305" t="s">
        <v>43</v>
      </c>
      <c r="F305" s="1">
        <v>38836</v>
      </c>
      <c r="G305" s="2">
        <f ca="1">DATEDIF(Query1[[#This Row],[Date of Birth]],TODAY(),"Y")</f>
        <v>19</v>
      </c>
      <c r="H305" t="s">
        <v>124</v>
      </c>
      <c r="I305">
        <v>2023</v>
      </c>
      <c r="J305" t="s">
        <v>63</v>
      </c>
      <c r="K305" t="s">
        <v>64</v>
      </c>
      <c r="N305" t="s">
        <v>65</v>
      </c>
      <c r="O305" t="s">
        <v>66</v>
      </c>
      <c r="P305">
        <v>5</v>
      </c>
      <c r="Q305" t="s">
        <v>58</v>
      </c>
      <c r="R305" t="s">
        <v>59</v>
      </c>
      <c r="S305" t="s">
        <v>29</v>
      </c>
      <c r="T305" t="s">
        <v>69</v>
      </c>
      <c r="U305">
        <v>60</v>
      </c>
      <c r="V305">
        <v>70</v>
      </c>
      <c r="W305">
        <v>75</v>
      </c>
      <c r="X305" s="2">
        <f>AVERAGE(Query1[[#This Row],[Assignment 1 Score]],Query1[[#This Row],[Assignment 2 Score]],Query1[[#This Row],[Midterm Exam Score]])</f>
        <v>68.333333333333329</v>
      </c>
      <c r="Y305" t="str" cm="1">
        <f t="array" ref="Y30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305" s="3">
        <f>Query1[[#This Row],[Final Score]]*5/100</f>
        <v>3.4166666666666661</v>
      </c>
      <c r="AA305" s="4">
        <v>0.90749999999999997</v>
      </c>
      <c r="AB305" s="4"/>
      <c r="AC305" s="5">
        <v>15492</v>
      </c>
      <c r="AD305" s="5">
        <v>0</v>
      </c>
      <c r="AE305" s="5">
        <f>Query1[[#This Row],[Tuition Fee]]-Query1[[#This Row],[Scholarship Amount]]</f>
        <v>15492</v>
      </c>
      <c r="AF305" t="s">
        <v>31</v>
      </c>
    </row>
    <row r="306" spans="1:32" x14ac:dyDescent="0.35">
      <c r="A306" t="s">
        <v>706</v>
      </c>
      <c r="B306" t="s">
        <v>1049</v>
      </c>
      <c r="C306" t="s">
        <v>1392</v>
      </c>
      <c r="D306" t="str">
        <f>LEFT(Query1[[#This Row],[First Name]],1) &amp; "." &amp; Query1[[#This Row],[Last Name]] &amp; "@university.edu"</f>
        <v>D.Lilliman@university.edu</v>
      </c>
      <c r="E306" t="s">
        <v>32</v>
      </c>
      <c r="F306" s="1">
        <v>38846</v>
      </c>
      <c r="G306" s="2">
        <f ca="1">DATEDIF(Query1[[#This Row],[Date of Birth]],TODAY(),"Y")</f>
        <v>19</v>
      </c>
      <c r="H306" t="s">
        <v>127</v>
      </c>
      <c r="I306">
        <v>2019</v>
      </c>
      <c r="J306" t="s">
        <v>72</v>
      </c>
      <c r="K306" t="s">
        <v>73</v>
      </c>
      <c r="N306" t="s">
        <v>74</v>
      </c>
      <c r="O306" t="s">
        <v>75</v>
      </c>
      <c r="P306">
        <v>4</v>
      </c>
      <c r="Q306" t="s">
        <v>67</v>
      </c>
      <c r="R306" t="s">
        <v>68</v>
      </c>
      <c r="S306" t="s">
        <v>40</v>
      </c>
      <c r="T306" t="s">
        <v>78</v>
      </c>
      <c r="U306">
        <v>41</v>
      </c>
      <c r="V306">
        <v>80</v>
      </c>
      <c r="W306">
        <v>70</v>
      </c>
      <c r="X306" s="2">
        <f>AVERAGE(Query1[[#This Row],[Assignment 1 Score]],Query1[[#This Row],[Assignment 2 Score]],Query1[[#This Row],[Midterm Exam Score]])</f>
        <v>63.666666666666664</v>
      </c>
      <c r="Y306" t="str" cm="1">
        <f t="array" ref="Y30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306" s="3">
        <f>Query1[[#This Row],[Final Score]]*5/100</f>
        <v>3.1833333333333331</v>
      </c>
      <c r="AA306" s="4">
        <v>0.87124999999999997</v>
      </c>
      <c r="AB306" s="4"/>
      <c r="AC306" s="5">
        <v>12515</v>
      </c>
      <c r="AD306" s="5">
        <v>1000</v>
      </c>
      <c r="AE306" s="5">
        <f>Query1[[#This Row],[Tuition Fee]]-Query1[[#This Row],[Scholarship Amount]]</f>
        <v>11515</v>
      </c>
      <c r="AF306" t="s">
        <v>31</v>
      </c>
    </row>
    <row r="307" spans="1:32" x14ac:dyDescent="0.35">
      <c r="A307" t="s">
        <v>707</v>
      </c>
      <c r="B307" t="s">
        <v>1050</v>
      </c>
      <c r="C307" t="s">
        <v>1393</v>
      </c>
      <c r="D307" t="str">
        <f>LEFT(Query1[[#This Row],[First Name]],1) &amp; "." &amp; Query1[[#This Row],[Last Name]] &amp; "@university.edu"</f>
        <v>E.Crebo@university.edu</v>
      </c>
      <c r="E307" t="s">
        <v>43</v>
      </c>
      <c r="F307" s="1">
        <v>38856</v>
      </c>
      <c r="G307" s="2">
        <f ca="1">DATEDIF(Query1[[#This Row],[Date of Birth]],TODAY(),"Y")</f>
        <v>19</v>
      </c>
      <c r="H307" t="s">
        <v>130</v>
      </c>
      <c r="I307">
        <v>2020</v>
      </c>
      <c r="J307" t="s">
        <v>34</v>
      </c>
      <c r="K307" t="s">
        <v>35</v>
      </c>
      <c r="N307" t="s">
        <v>81</v>
      </c>
      <c r="O307" t="s">
        <v>37</v>
      </c>
      <c r="P307">
        <v>3</v>
      </c>
      <c r="Q307" t="s">
        <v>76</v>
      </c>
      <c r="R307" t="s">
        <v>77</v>
      </c>
      <c r="S307" t="s">
        <v>29</v>
      </c>
      <c r="T307" t="s">
        <v>41</v>
      </c>
      <c r="U307">
        <v>38</v>
      </c>
      <c r="V307">
        <v>45</v>
      </c>
      <c r="W307">
        <v>84</v>
      </c>
      <c r="X307" s="2">
        <f>AVERAGE(Query1[[#This Row],[Assignment 1 Score]],Query1[[#This Row],[Assignment 2 Score]],Query1[[#This Row],[Midterm Exam Score]])</f>
        <v>55.666666666666664</v>
      </c>
      <c r="Y307" t="str" cm="1">
        <f t="array" ref="Y30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307" s="3">
        <f>Query1[[#This Row],[Final Score]]*5/100</f>
        <v>2.7833333333333332</v>
      </c>
      <c r="AA307" s="4">
        <v>0.91049999999999986</v>
      </c>
      <c r="AB307" s="4"/>
      <c r="AC307" s="5">
        <v>12038</v>
      </c>
      <c r="AD307" s="5">
        <v>2000</v>
      </c>
      <c r="AE307" s="5">
        <f>Query1[[#This Row],[Tuition Fee]]-Query1[[#This Row],[Scholarship Amount]]</f>
        <v>10038</v>
      </c>
      <c r="AF307" t="s">
        <v>60</v>
      </c>
    </row>
    <row r="308" spans="1:32" x14ac:dyDescent="0.35">
      <c r="A308" t="s">
        <v>708</v>
      </c>
      <c r="B308" t="s">
        <v>1051</v>
      </c>
      <c r="C308" t="s">
        <v>1394</v>
      </c>
      <c r="D308" t="str">
        <f>LEFT(Query1[[#This Row],[First Name]],1) &amp; "." &amp; Query1[[#This Row],[Last Name]] &amp; "@university.edu"</f>
        <v>Z.Ingrem@university.edu</v>
      </c>
      <c r="E308" t="s">
        <v>32</v>
      </c>
      <c r="F308" s="1">
        <v>38866</v>
      </c>
      <c r="G308" s="2">
        <f ca="1">DATEDIF(Query1[[#This Row],[Date of Birth]],TODAY(),"Y")</f>
        <v>19</v>
      </c>
      <c r="H308" t="s">
        <v>33</v>
      </c>
      <c r="I308">
        <v>2021</v>
      </c>
      <c r="J308" t="s">
        <v>45</v>
      </c>
      <c r="K308" t="s">
        <v>86</v>
      </c>
      <c r="N308" t="s">
        <v>87</v>
      </c>
      <c r="O308" t="s">
        <v>88</v>
      </c>
      <c r="P308">
        <v>3</v>
      </c>
      <c r="Q308" t="s">
        <v>82</v>
      </c>
      <c r="R308" t="s">
        <v>83</v>
      </c>
      <c r="S308" t="s">
        <v>40</v>
      </c>
      <c r="T308" t="s">
        <v>51</v>
      </c>
      <c r="U308">
        <v>59</v>
      </c>
      <c r="V308">
        <v>34</v>
      </c>
      <c r="W308">
        <v>63</v>
      </c>
      <c r="X308" s="2">
        <f>AVERAGE(Query1[[#This Row],[Assignment 1 Score]],Query1[[#This Row],[Assignment 2 Score]],Query1[[#This Row],[Midterm Exam Score]])</f>
        <v>52</v>
      </c>
      <c r="Y308" t="str" cm="1">
        <f t="array" ref="Y30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308" s="3">
        <f>Query1[[#This Row],[Final Score]]*5/100</f>
        <v>2.6</v>
      </c>
      <c r="AA308" s="4">
        <v>0.86299999999999999</v>
      </c>
      <c r="AB308" s="4"/>
      <c r="AC308" s="5">
        <v>13061</v>
      </c>
      <c r="AD308" s="5">
        <v>1000</v>
      </c>
      <c r="AE308" s="5">
        <f>Query1[[#This Row],[Tuition Fee]]-Query1[[#This Row],[Scholarship Amount]]</f>
        <v>12061</v>
      </c>
      <c r="AF308" t="s">
        <v>31</v>
      </c>
    </row>
    <row r="309" spans="1:32" x14ac:dyDescent="0.35">
      <c r="A309" t="s">
        <v>709</v>
      </c>
      <c r="B309" t="s">
        <v>1052</v>
      </c>
      <c r="C309" t="s">
        <v>1395</v>
      </c>
      <c r="D309" t="str">
        <f>LEFT(Query1[[#This Row],[First Name]],1) &amp; "." &amp; Query1[[#This Row],[Last Name]] &amp; "@university.edu"</f>
        <v>R.Cauthra@university.edu</v>
      </c>
      <c r="E309" t="s">
        <v>43</v>
      </c>
      <c r="F309" s="1">
        <v>38876</v>
      </c>
      <c r="G309" s="2">
        <f ca="1">DATEDIF(Query1[[#This Row],[Date of Birth]],TODAY(),"Y")</f>
        <v>19</v>
      </c>
      <c r="H309" t="s">
        <v>44</v>
      </c>
      <c r="I309">
        <v>2022</v>
      </c>
      <c r="J309" t="s">
        <v>54</v>
      </c>
      <c r="K309" t="s">
        <v>93</v>
      </c>
      <c r="N309" t="s">
        <v>94</v>
      </c>
      <c r="O309" t="s">
        <v>95</v>
      </c>
      <c r="P309">
        <v>3</v>
      </c>
      <c r="Q309" t="s">
        <v>89</v>
      </c>
      <c r="R309" t="s">
        <v>90</v>
      </c>
      <c r="S309" t="s">
        <v>29</v>
      </c>
      <c r="T309" t="s">
        <v>30</v>
      </c>
      <c r="U309">
        <v>59</v>
      </c>
      <c r="V309">
        <v>33</v>
      </c>
      <c r="W309">
        <v>77</v>
      </c>
      <c r="X309" s="2">
        <f>AVERAGE(Query1[[#This Row],[Assignment 1 Score]],Query1[[#This Row],[Assignment 2 Score]],Query1[[#This Row],[Midterm Exam Score]])</f>
        <v>56.333333333333336</v>
      </c>
      <c r="Y309" t="str" cm="1">
        <f t="array" ref="Y30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309" s="3">
        <f>Query1[[#This Row],[Final Score]]*5/100</f>
        <v>2.8166666666666669</v>
      </c>
      <c r="AA309" s="4">
        <v>0.90225</v>
      </c>
      <c r="AB309" s="4"/>
      <c r="AC309" s="5">
        <v>11084</v>
      </c>
      <c r="AD309" s="5">
        <v>0</v>
      </c>
      <c r="AE309" s="5">
        <f>Query1[[#This Row],[Tuition Fee]]-Query1[[#This Row],[Scholarship Amount]]</f>
        <v>11084</v>
      </c>
      <c r="AF309" t="s">
        <v>31</v>
      </c>
    </row>
    <row r="310" spans="1:32" x14ac:dyDescent="0.35">
      <c r="A310" t="s">
        <v>710</v>
      </c>
      <c r="B310" t="s">
        <v>1053</v>
      </c>
      <c r="C310" t="s">
        <v>1396</v>
      </c>
      <c r="D310" t="str">
        <f>LEFT(Query1[[#This Row],[First Name]],1) &amp; "." &amp; Query1[[#This Row],[Last Name]] &amp; "@university.edu"</f>
        <v>M.Reisk@university.edu</v>
      </c>
      <c r="E310" t="s">
        <v>32</v>
      </c>
      <c r="F310" s="1">
        <v>38886</v>
      </c>
      <c r="G310" s="2">
        <f ca="1">DATEDIF(Query1[[#This Row],[Date of Birth]],TODAY(),"Y")</f>
        <v>19</v>
      </c>
      <c r="H310" t="s">
        <v>53</v>
      </c>
      <c r="I310">
        <v>2023</v>
      </c>
      <c r="J310" t="s">
        <v>63</v>
      </c>
      <c r="K310" t="s">
        <v>98</v>
      </c>
      <c r="N310" t="s">
        <v>99</v>
      </c>
      <c r="O310" t="s">
        <v>100</v>
      </c>
      <c r="P310">
        <v>5</v>
      </c>
      <c r="Q310" t="s">
        <v>38</v>
      </c>
      <c r="R310" t="s">
        <v>39</v>
      </c>
      <c r="S310" t="s">
        <v>40</v>
      </c>
      <c r="T310" t="s">
        <v>69</v>
      </c>
      <c r="U310">
        <v>40</v>
      </c>
      <c r="V310">
        <v>31</v>
      </c>
      <c r="W310">
        <v>56</v>
      </c>
      <c r="X310" s="2">
        <f>AVERAGE(Query1[[#This Row],[Assignment 1 Score]],Query1[[#This Row],[Assignment 2 Score]],Query1[[#This Row],[Midterm Exam Score]])</f>
        <v>42.333333333333336</v>
      </c>
      <c r="Y310" t="str" cm="1">
        <f t="array" ref="Y31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E</v>
      </c>
      <c r="Z310" s="3">
        <f>Query1[[#This Row],[Final Score]]*5/100</f>
        <v>2.1166666666666667</v>
      </c>
      <c r="AA310" s="4">
        <v>0.85399999999999998</v>
      </c>
      <c r="AB310" s="4"/>
      <c r="AC310" s="5">
        <v>15107</v>
      </c>
      <c r="AD310" s="5">
        <v>2000</v>
      </c>
      <c r="AE310" s="5">
        <f>Query1[[#This Row],[Tuition Fee]]-Query1[[#This Row],[Scholarship Amount]]</f>
        <v>13107</v>
      </c>
      <c r="AF310" t="s">
        <v>60</v>
      </c>
    </row>
    <row r="311" spans="1:32" x14ac:dyDescent="0.35">
      <c r="A311" t="s">
        <v>711</v>
      </c>
      <c r="B311" t="s">
        <v>1054</v>
      </c>
      <c r="C311" t="s">
        <v>1397</v>
      </c>
      <c r="D311" t="str">
        <f>LEFT(Query1[[#This Row],[First Name]],1) &amp; "." &amp; Query1[[#This Row],[Last Name]] &amp; "@university.edu"</f>
        <v>H.Simmig@university.edu</v>
      </c>
      <c r="E311" t="s">
        <v>43</v>
      </c>
      <c r="F311" s="1">
        <v>38896</v>
      </c>
      <c r="G311" s="2">
        <f ca="1">DATEDIF(Query1[[#This Row],[Date of Birth]],TODAY(),"Y")</f>
        <v>19</v>
      </c>
      <c r="H311" t="s">
        <v>62</v>
      </c>
      <c r="I311">
        <v>2019</v>
      </c>
      <c r="J311" t="s">
        <v>72</v>
      </c>
      <c r="K311" t="s">
        <v>73</v>
      </c>
      <c r="N311" t="s">
        <v>103</v>
      </c>
      <c r="O311" t="s">
        <v>75</v>
      </c>
      <c r="P311">
        <v>4</v>
      </c>
      <c r="Q311" t="s">
        <v>49</v>
      </c>
      <c r="R311" t="s">
        <v>50</v>
      </c>
      <c r="S311" t="s">
        <v>29</v>
      </c>
      <c r="T311" t="s">
        <v>78</v>
      </c>
      <c r="U311">
        <v>34</v>
      </c>
      <c r="V311">
        <v>36</v>
      </c>
      <c r="W311">
        <v>86</v>
      </c>
      <c r="X311" s="2">
        <f>AVERAGE(Query1[[#This Row],[Assignment 1 Score]],Query1[[#This Row],[Assignment 2 Score]],Query1[[#This Row],[Midterm Exam Score]])</f>
        <v>52</v>
      </c>
      <c r="Y311" t="str" cm="1">
        <f t="array" ref="Y31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311" s="3">
        <f>Query1[[#This Row],[Final Score]]*5/100</f>
        <v>2.6</v>
      </c>
      <c r="AA311" s="4">
        <v>0.90225</v>
      </c>
      <c r="AB311" s="4"/>
      <c r="AC311" s="5">
        <v>12630</v>
      </c>
      <c r="AD311" s="5">
        <v>1000</v>
      </c>
      <c r="AE311" s="5">
        <f>Query1[[#This Row],[Tuition Fee]]-Query1[[#This Row],[Scholarship Amount]]</f>
        <v>11630</v>
      </c>
      <c r="AF311" t="s">
        <v>31</v>
      </c>
    </row>
    <row r="312" spans="1:32" x14ac:dyDescent="0.35">
      <c r="A312" t="s">
        <v>712</v>
      </c>
      <c r="B312" t="s">
        <v>1055</v>
      </c>
      <c r="C312" t="s">
        <v>1398</v>
      </c>
      <c r="D312" t="str">
        <f>LEFT(Query1[[#This Row],[First Name]],1) &amp; "." &amp; Query1[[#This Row],[Last Name]] &amp; "@university.edu"</f>
        <v>M.Attride@university.edu</v>
      </c>
      <c r="E312" t="s">
        <v>32</v>
      </c>
      <c r="F312" s="1">
        <v>38906</v>
      </c>
      <c r="G312" s="2">
        <f ca="1">DATEDIF(Query1[[#This Row],[Date of Birth]],TODAY(),"Y")</f>
        <v>19</v>
      </c>
      <c r="H312" t="s">
        <v>71</v>
      </c>
      <c r="I312">
        <v>2020</v>
      </c>
      <c r="J312" t="s">
        <v>34</v>
      </c>
      <c r="K312" t="s">
        <v>35</v>
      </c>
      <c r="N312" t="s">
        <v>106</v>
      </c>
      <c r="O312" t="s">
        <v>37</v>
      </c>
      <c r="P312">
        <v>3</v>
      </c>
      <c r="Q312" t="s">
        <v>58</v>
      </c>
      <c r="R312" t="s">
        <v>59</v>
      </c>
      <c r="S312" t="s">
        <v>40</v>
      </c>
      <c r="T312" t="s">
        <v>41</v>
      </c>
      <c r="U312">
        <v>56</v>
      </c>
      <c r="V312">
        <v>76</v>
      </c>
      <c r="W312">
        <v>65</v>
      </c>
      <c r="X312" s="2">
        <f>AVERAGE(Query1[[#This Row],[Assignment 1 Score]],Query1[[#This Row],[Assignment 2 Score]],Query1[[#This Row],[Midterm Exam Score]])</f>
        <v>65.666666666666671</v>
      </c>
      <c r="Y312" t="str" cm="1">
        <f t="array" ref="Y31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312" s="3">
        <f>Query1[[#This Row],[Final Score]]*5/100</f>
        <v>3.2833333333333337</v>
      </c>
      <c r="AA312" s="4">
        <v>0.85775000000000001</v>
      </c>
      <c r="AB312" s="4"/>
      <c r="AC312" s="5">
        <v>12153</v>
      </c>
      <c r="AD312" s="5">
        <v>1000</v>
      </c>
      <c r="AE312" s="5">
        <f>Query1[[#This Row],[Tuition Fee]]-Query1[[#This Row],[Scholarship Amount]]</f>
        <v>11153</v>
      </c>
      <c r="AF312" t="s">
        <v>31</v>
      </c>
    </row>
    <row r="313" spans="1:32" x14ac:dyDescent="0.35">
      <c r="A313" t="s">
        <v>713</v>
      </c>
      <c r="B313" t="s">
        <v>1056</v>
      </c>
      <c r="C313" t="s">
        <v>1399</v>
      </c>
      <c r="D313" t="str">
        <f>LEFT(Query1[[#This Row],[First Name]],1) &amp; "." &amp; Query1[[#This Row],[Last Name]] &amp; "@university.edu"</f>
        <v>K.Sawday@university.edu</v>
      </c>
      <c r="E313" t="s">
        <v>43</v>
      </c>
      <c r="F313" s="1">
        <v>38916</v>
      </c>
      <c r="G313" s="2">
        <f ca="1">DATEDIF(Query1[[#This Row],[Date of Birth]],TODAY(),"Y")</f>
        <v>19</v>
      </c>
      <c r="H313" t="s">
        <v>80</v>
      </c>
      <c r="I313">
        <v>2021</v>
      </c>
      <c r="J313" t="s">
        <v>45</v>
      </c>
      <c r="K313" t="s">
        <v>109</v>
      </c>
      <c r="N313" t="s">
        <v>110</v>
      </c>
      <c r="O313" t="s">
        <v>111</v>
      </c>
      <c r="P313">
        <v>3</v>
      </c>
      <c r="Q313" t="s">
        <v>67</v>
      </c>
      <c r="R313" t="s">
        <v>68</v>
      </c>
      <c r="S313" t="s">
        <v>29</v>
      </c>
      <c r="T313" t="s">
        <v>51</v>
      </c>
      <c r="U313">
        <v>32</v>
      </c>
      <c r="V313">
        <v>40</v>
      </c>
      <c r="W313">
        <v>79</v>
      </c>
      <c r="X313" s="2">
        <f>AVERAGE(Query1[[#This Row],[Assignment 1 Score]],Query1[[#This Row],[Assignment 2 Score]],Query1[[#This Row],[Midterm Exam Score]])</f>
        <v>50.333333333333336</v>
      </c>
      <c r="Y313" t="str" cm="1">
        <f t="array" ref="Y31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313" s="3">
        <f>Query1[[#This Row],[Final Score]]*5/100</f>
        <v>2.5166666666666671</v>
      </c>
      <c r="AA313" s="4">
        <v>0.89399999999999991</v>
      </c>
      <c r="AB313" s="4"/>
      <c r="AC313" s="5">
        <v>13176</v>
      </c>
      <c r="AD313" s="5">
        <v>0</v>
      </c>
      <c r="AE313" s="5">
        <f>Query1[[#This Row],[Tuition Fee]]-Query1[[#This Row],[Scholarship Amount]]</f>
        <v>13176</v>
      </c>
      <c r="AF313" t="s">
        <v>60</v>
      </c>
    </row>
    <row r="314" spans="1:32" x14ac:dyDescent="0.35">
      <c r="A314" t="s">
        <v>714</v>
      </c>
      <c r="B314" t="s">
        <v>1057</v>
      </c>
      <c r="C314" t="s">
        <v>1400</v>
      </c>
      <c r="D314" t="str">
        <f>LEFT(Query1[[#This Row],[First Name]],1) &amp; "." &amp; Query1[[#This Row],[Last Name]] &amp; "@university.edu"</f>
        <v>C.Bown@university.edu</v>
      </c>
      <c r="E314" t="s">
        <v>32</v>
      </c>
      <c r="F314" s="1">
        <v>38926</v>
      </c>
      <c r="G314" s="2">
        <f ca="1">DATEDIF(Query1[[#This Row],[Date of Birth]],TODAY(),"Y")</f>
        <v>19</v>
      </c>
      <c r="H314" t="s">
        <v>85</v>
      </c>
      <c r="I314">
        <v>2022</v>
      </c>
      <c r="J314" t="s">
        <v>54</v>
      </c>
      <c r="K314" t="s">
        <v>114</v>
      </c>
      <c r="N314" t="s">
        <v>115</v>
      </c>
      <c r="O314" t="s">
        <v>116</v>
      </c>
      <c r="P314">
        <v>3</v>
      </c>
      <c r="Q314" t="s">
        <v>76</v>
      </c>
      <c r="R314" t="s">
        <v>77</v>
      </c>
      <c r="S314" t="s">
        <v>40</v>
      </c>
      <c r="T314" t="s">
        <v>30</v>
      </c>
      <c r="U314">
        <v>44</v>
      </c>
      <c r="V314">
        <v>34</v>
      </c>
      <c r="W314">
        <v>58</v>
      </c>
      <c r="X314" s="2">
        <f>AVERAGE(Query1[[#This Row],[Assignment 1 Score]],Query1[[#This Row],[Assignment 2 Score]],Query1[[#This Row],[Midterm Exam Score]])</f>
        <v>45.333333333333336</v>
      </c>
      <c r="Y314" t="str" cm="1">
        <f t="array" ref="Y31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E</v>
      </c>
      <c r="Z314" s="3">
        <f>Query1[[#This Row],[Final Score]]*5/100</f>
        <v>2.2666666666666671</v>
      </c>
      <c r="AA314" s="4">
        <v>0.84575</v>
      </c>
      <c r="AB314" s="4"/>
      <c r="AC314" s="5">
        <v>11199</v>
      </c>
      <c r="AD314" s="5">
        <v>1000</v>
      </c>
      <c r="AE314" s="5">
        <f>Query1[[#This Row],[Tuition Fee]]-Query1[[#This Row],[Scholarship Amount]]</f>
        <v>10199</v>
      </c>
      <c r="AF314" t="s">
        <v>31</v>
      </c>
    </row>
    <row r="315" spans="1:32" x14ac:dyDescent="0.35">
      <c r="A315" t="s">
        <v>715</v>
      </c>
      <c r="B315" t="s">
        <v>1058</v>
      </c>
      <c r="C315" t="s">
        <v>1401</v>
      </c>
      <c r="D315" t="str">
        <f>LEFT(Query1[[#This Row],[First Name]],1) &amp; "." &amp; Query1[[#This Row],[Last Name]] &amp; "@university.edu"</f>
        <v>E.Jacques@university.edu</v>
      </c>
      <c r="E315" t="s">
        <v>43</v>
      </c>
      <c r="F315" s="1">
        <v>38936</v>
      </c>
      <c r="G315" s="2">
        <f ca="1">DATEDIF(Query1[[#This Row],[Date of Birth]],TODAY(),"Y")</f>
        <v>19</v>
      </c>
      <c r="H315" t="s">
        <v>92</v>
      </c>
      <c r="I315">
        <v>2023</v>
      </c>
      <c r="J315" t="s">
        <v>63</v>
      </c>
      <c r="K315" t="s">
        <v>120</v>
      </c>
      <c r="N315" t="s">
        <v>121</v>
      </c>
      <c r="O315" t="s">
        <v>122</v>
      </c>
      <c r="P315">
        <v>5</v>
      </c>
      <c r="Q315" t="s">
        <v>82</v>
      </c>
      <c r="R315" t="s">
        <v>83</v>
      </c>
      <c r="S315" t="s">
        <v>29</v>
      </c>
      <c r="T315" t="s">
        <v>69</v>
      </c>
      <c r="U315">
        <v>70</v>
      </c>
      <c r="V315">
        <v>56</v>
      </c>
      <c r="W315">
        <v>72</v>
      </c>
      <c r="X315" s="2">
        <f>AVERAGE(Query1[[#This Row],[Assignment 1 Score]],Query1[[#This Row],[Assignment 2 Score]],Query1[[#This Row],[Midterm Exam Score]])</f>
        <v>66</v>
      </c>
      <c r="Y315" t="str" cm="1">
        <f t="array" ref="Y31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315" s="3">
        <f>Query1[[#This Row],[Final Score]]*5/100</f>
        <v>3.3</v>
      </c>
      <c r="AA315" s="4">
        <v>0.88874999999999993</v>
      </c>
      <c r="AB315" s="4"/>
      <c r="AC315" s="5">
        <v>15222</v>
      </c>
      <c r="AD315" s="5">
        <v>1000</v>
      </c>
      <c r="AE315" s="5">
        <f>Query1[[#This Row],[Tuition Fee]]-Query1[[#This Row],[Scholarship Amount]]</f>
        <v>14222</v>
      </c>
      <c r="AF315" t="s">
        <v>31</v>
      </c>
    </row>
    <row r="316" spans="1:32" x14ac:dyDescent="0.35">
      <c r="A316" t="s">
        <v>716</v>
      </c>
      <c r="B316" t="s">
        <v>1059</v>
      </c>
      <c r="C316" t="s">
        <v>118</v>
      </c>
      <c r="D316" t="str">
        <f>LEFT(Query1[[#This Row],[First Name]],1) &amp; "." &amp; Query1[[#This Row],[Last Name]] &amp; "@university.edu"</f>
        <v>C.Dubois@university.edu</v>
      </c>
      <c r="E316" t="s">
        <v>32</v>
      </c>
      <c r="F316" s="1">
        <v>38946</v>
      </c>
      <c r="G316" s="2">
        <f ca="1">DATEDIF(Query1[[#This Row],[Date of Birth]],TODAY(),"Y")</f>
        <v>19</v>
      </c>
      <c r="H316" t="s">
        <v>97</v>
      </c>
      <c r="I316">
        <v>2019</v>
      </c>
      <c r="J316" t="s">
        <v>72</v>
      </c>
      <c r="K316" t="s">
        <v>73</v>
      </c>
      <c r="N316" t="s">
        <v>125</v>
      </c>
      <c r="O316" t="s">
        <v>75</v>
      </c>
      <c r="P316">
        <v>4</v>
      </c>
      <c r="Q316" t="s">
        <v>89</v>
      </c>
      <c r="R316" t="s">
        <v>90</v>
      </c>
      <c r="S316" t="s">
        <v>40</v>
      </c>
      <c r="T316" t="s">
        <v>78</v>
      </c>
      <c r="U316">
        <v>80</v>
      </c>
      <c r="V316">
        <v>32</v>
      </c>
      <c r="W316">
        <v>67</v>
      </c>
      <c r="X316" s="2">
        <f>AVERAGE(Query1[[#This Row],[Assignment 1 Score]],Query1[[#This Row],[Assignment 2 Score]],Query1[[#This Row],[Midterm Exam Score]])</f>
        <v>59.666666666666664</v>
      </c>
      <c r="Y316" t="str" cm="1">
        <f t="array" ref="Y31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316" s="3">
        <f>Query1[[#This Row],[Final Score]]*5/100</f>
        <v>2.9833333333333329</v>
      </c>
      <c r="AA316" s="4">
        <v>0.84949999999999992</v>
      </c>
      <c r="AB316" s="4"/>
      <c r="AC316" s="5">
        <v>12745</v>
      </c>
      <c r="AD316" s="5">
        <v>5000</v>
      </c>
      <c r="AE316" s="5">
        <f>Query1[[#This Row],[Tuition Fee]]-Query1[[#This Row],[Scholarship Amount]]</f>
        <v>7745</v>
      </c>
      <c r="AF316" t="s">
        <v>60</v>
      </c>
    </row>
    <row r="317" spans="1:32" x14ac:dyDescent="0.35">
      <c r="A317" t="s">
        <v>717</v>
      </c>
      <c r="B317" t="s">
        <v>1060</v>
      </c>
      <c r="C317" t="s">
        <v>1402</v>
      </c>
      <c r="D317" t="str">
        <f>LEFT(Query1[[#This Row],[First Name]],1) &amp; "." &amp; Query1[[#This Row],[Last Name]] &amp; "@university.edu"</f>
        <v>A.Borrowman@university.edu</v>
      </c>
      <c r="E317" t="s">
        <v>43</v>
      </c>
      <c r="F317" s="1">
        <v>38956</v>
      </c>
      <c r="G317" s="2">
        <f ca="1">DATEDIF(Query1[[#This Row],[Date of Birth]],TODAY(),"Y")</f>
        <v>19</v>
      </c>
      <c r="H317" t="s">
        <v>102</v>
      </c>
      <c r="I317">
        <v>2020</v>
      </c>
      <c r="J317" t="s">
        <v>34</v>
      </c>
      <c r="K317" t="s">
        <v>35</v>
      </c>
      <c r="N317" t="s">
        <v>128</v>
      </c>
      <c r="O317" t="s">
        <v>37</v>
      </c>
      <c r="P317">
        <v>3</v>
      </c>
      <c r="Q317" t="s">
        <v>38</v>
      </c>
      <c r="R317" t="s">
        <v>39</v>
      </c>
      <c r="S317" t="s">
        <v>29</v>
      </c>
      <c r="T317" t="s">
        <v>41</v>
      </c>
      <c r="U317">
        <v>34</v>
      </c>
      <c r="V317">
        <v>44</v>
      </c>
      <c r="W317">
        <v>81</v>
      </c>
      <c r="X317" s="2">
        <f>AVERAGE(Query1[[#This Row],[Assignment 1 Score]],Query1[[#This Row],[Assignment 2 Score]],Query1[[#This Row],[Midterm Exam Score]])</f>
        <v>53</v>
      </c>
      <c r="Y317" t="str" cm="1">
        <f t="array" ref="Y31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317" s="3">
        <f>Query1[[#This Row],[Final Score]]*5/100</f>
        <v>2.65</v>
      </c>
      <c r="AA317" s="4">
        <v>0.88874999999999993</v>
      </c>
      <c r="AB317" s="4"/>
      <c r="AC317" s="5">
        <v>12268</v>
      </c>
      <c r="AD317" s="5">
        <v>0</v>
      </c>
      <c r="AE317" s="5">
        <f>Query1[[#This Row],[Tuition Fee]]-Query1[[#This Row],[Scholarship Amount]]</f>
        <v>12268</v>
      </c>
      <c r="AF317" t="s">
        <v>31</v>
      </c>
    </row>
    <row r="318" spans="1:32" x14ac:dyDescent="0.35">
      <c r="A318" t="s">
        <v>718</v>
      </c>
      <c r="B318" t="s">
        <v>1061</v>
      </c>
      <c r="C318" t="s">
        <v>1403</v>
      </c>
      <c r="D318" t="str">
        <f>LEFT(Query1[[#This Row],[First Name]],1) &amp; "." &amp; Query1[[#This Row],[Last Name]] &amp; "@university.edu"</f>
        <v>A.Klemke@university.edu</v>
      </c>
      <c r="E318" t="s">
        <v>32</v>
      </c>
      <c r="F318" s="1">
        <v>38966</v>
      </c>
      <c r="G318" s="2">
        <f ca="1">DATEDIF(Query1[[#This Row],[Date of Birth]],TODAY(),"Y")</f>
        <v>19</v>
      </c>
      <c r="H318" t="s">
        <v>105</v>
      </c>
      <c r="I318">
        <v>2021</v>
      </c>
      <c r="J318" t="s">
        <v>45</v>
      </c>
      <c r="K318" t="s">
        <v>131</v>
      </c>
      <c r="N318" t="s">
        <v>132</v>
      </c>
      <c r="O318" t="s">
        <v>133</v>
      </c>
      <c r="P318">
        <v>3</v>
      </c>
      <c r="Q318" t="s">
        <v>49</v>
      </c>
      <c r="R318" t="s">
        <v>50</v>
      </c>
      <c r="S318" t="s">
        <v>40</v>
      </c>
      <c r="T318" t="s">
        <v>51</v>
      </c>
      <c r="U318">
        <v>56</v>
      </c>
      <c r="V318">
        <v>70</v>
      </c>
      <c r="W318">
        <v>95</v>
      </c>
      <c r="X318" s="2">
        <f>AVERAGE(Query1[[#This Row],[Assignment 1 Score]],Query1[[#This Row],[Assignment 2 Score]],Query1[[#This Row],[Midterm Exam Score]])</f>
        <v>73.666666666666671</v>
      </c>
      <c r="Y318" t="str" cm="1">
        <f t="array" ref="Y31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318" s="3">
        <f>Query1[[#This Row],[Final Score]]*5/100</f>
        <v>3.6833333333333336</v>
      </c>
      <c r="AA318" s="4">
        <v>0.93174999999999997</v>
      </c>
      <c r="AB318" s="4"/>
      <c r="AC318" s="5">
        <v>13291</v>
      </c>
      <c r="AD318" s="5">
        <v>1000</v>
      </c>
      <c r="AE318" s="5">
        <f>Query1[[#This Row],[Tuition Fee]]-Query1[[#This Row],[Scholarship Amount]]</f>
        <v>12291</v>
      </c>
      <c r="AF318" t="s">
        <v>31</v>
      </c>
    </row>
    <row r="319" spans="1:32" x14ac:dyDescent="0.35">
      <c r="A319" t="s">
        <v>719</v>
      </c>
      <c r="B319" t="s">
        <v>1062</v>
      </c>
      <c r="C319" t="s">
        <v>1404</v>
      </c>
      <c r="D319" t="str">
        <f>LEFT(Query1[[#This Row],[First Name]],1) &amp; "." &amp; Query1[[#This Row],[Last Name]] &amp; "@university.edu"</f>
        <v>C.Hissett@university.edu</v>
      </c>
      <c r="E319" t="s">
        <v>43</v>
      </c>
      <c r="F319" s="1">
        <v>38976</v>
      </c>
      <c r="G319" s="2">
        <f ca="1">DATEDIF(Query1[[#This Row],[Date of Birth]],TODAY(),"Y")</f>
        <v>19</v>
      </c>
      <c r="H319" t="s">
        <v>108</v>
      </c>
      <c r="I319">
        <v>2022</v>
      </c>
      <c r="J319" t="s">
        <v>54</v>
      </c>
      <c r="K319" t="s">
        <v>135</v>
      </c>
      <c r="N319" t="s">
        <v>136</v>
      </c>
      <c r="O319" t="s">
        <v>137</v>
      </c>
      <c r="P319">
        <v>3</v>
      </c>
      <c r="Q319" t="s">
        <v>58</v>
      </c>
      <c r="R319" t="s">
        <v>59</v>
      </c>
      <c r="S319" t="s">
        <v>29</v>
      </c>
      <c r="T319" t="s">
        <v>30</v>
      </c>
      <c r="U319">
        <v>32</v>
      </c>
      <c r="V319">
        <v>50</v>
      </c>
      <c r="W319">
        <v>74</v>
      </c>
      <c r="X319" s="2">
        <f>AVERAGE(Query1[[#This Row],[Assignment 1 Score]],Query1[[#This Row],[Assignment 2 Score]],Query1[[#This Row],[Midterm Exam Score]])</f>
        <v>52</v>
      </c>
      <c r="Y319" t="str" cm="1">
        <f t="array" ref="Y31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319" s="3">
        <f>Query1[[#This Row],[Final Score]]*5/100</f>
        <v>2.6</v>
      </c>
      <c r="AA319" s="4">
        <v>0.88049999999999995</v>
      </c>
      <c r="AB319" s="4"/>
      <c r="AC319" s="5">
        <v>11314</v>
      </c>
      <c r="AD319" s="5">
        <v>2000</v>
      </c>
      <c r="AE319" s="5">
        <f>Query1[[#This Row],[Tuition Fee]]-Query1[[#This Row],[Scholarship Amount]]</f>
        <v>9314</v>
      </c>
      <c r="AF319" t="s">
        <v>60</v>
      </c>
    </row>
    <row r="320" spans="1:32" x14ac:dyDescent="0.35">
      <c r="A320" t="s">
        <v>720</v>
      </c>
      <c r="B320" t="s">
        <v>1063</v>
      </c>
      <c r="C320" t="s">
        <v>1405</v>
      </c>
      <c r="D320" t="str">
        <f>LEFT(Query1[[#This Row],[First Name]],1) &amp; "." &amp; Query1[[#This Row],[Last Name]] &amp; "@university.edu"</f>
        <v>H.Deave@university.edu</v>
      </c>
      <c r="E320" t="s">
        <v>32</v>
      </c>
      <c r="F320" s="1">
        <v>38986</v>
      </c>
      <c r="G320" s="2">
        <f ca="1">DATEDIF(Query1[[#This Row],[Date of Birth]],TODAY(),"Y")</f>
        <v>19</v>
      </c>
      <c r="H320" t="s">
        <v>113</v>
      </c>
      <c r="I320">
        <v>2023</v>
      </c>
      <c r="J320" t="s">
        <v>63</v>
      </c>
      <c r="K320" t="s">
        <v>64</v>
      </c>
      <c r="N320" t="s">
        <v>139</v>
      </c>
      <c r="O320" t="s">
        <v>66</v>
      </c>
      <c r="P320">
        <v>5</v>
      </c>
      <c r="Q320" t="s">
        <v>67</v>
      </c>
      <c r="R320" t="s">
        <v>68</v>
      </c>
      <c r="S320" t="s">
        <v>40</v>
      </c>
      <c r="T320" t="s">
        <v>69</v>
      </c>
      <c r="U320">
        <v>44</v>
      </c>
      <c r="V320">
        <v>60</v>
      </c>
      <c r="W320">
        <v>88</v>
      </c>
      <c r="X320" s="2">
        <f>AVERAGE(Query1[[#This Row],[Assignment 1 Score]],Query1[[#This Row],[Assignment 2 Score]],Query1[[#This Row],[Midterm Exam Score]])</f>
        <v>64</v>
      </c>
      <c r="Y320" t="str" cm="1">
        <f t="array" ref="Y32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320" s="3">
        <f>Query1[[#This Row],[Final Score]]*5/100</f>
        <v>3.2</v>
      </c>
      <c r="AA320" s="4">
        <v>0.91974999999999996</v>
      </c>
      <c r="AB320" s="4"/>
      <c r="AC320" s="5">
        <v>15337</v>
      </c>
      <c r="AD320" s="5">
        <v>1000</v>
      </c>
      <c r="AE320" s="5">
        <f>Query1[[#This Row],[Tuition Fee]]-Query1[[#This Row],[Scholarship Amount]]</f>
        <v>14337</v>
      </c>
      <c r="AF320" t="s">
        <v>31</v>
      </c>
    </row>
    <row r="321" spans="1:32" x14ac:dyDescent="0.35">
      <c r="A321" t="s">
        <v>721</v>
      </c>
      <c r="B321" t="s">
        <v>1064</v>
      </c>
      <c r="C321" t="s">
        <v>1406</v>
      </c>
      <c r="D321" t="str">
        <f>LEFT(Query1[[#This Row],[First Name]],1) &amp; "." &amp; Query1[[#This Row],[Last Name]] &amp; "@university.edu"</f>
        <v>C.Taylorson@university.edu</v>
      </c>
      <c r="E321" t="s">
        <v>43</v>
      </c>
      <c r="F321" s="1">
        <v>38996</v>
      </c>
      <c r="G321" s="2">
        <f ca="1">DATEDIF(Query1[[#This Row],[Date of Birth]],TODAY(),"Y")</f>
        <v>19</v>
      </c>
      <c r="H321" t="s">
        <v>119</v>
      </c>
      <c r="I321">
        <v>2019</v>
      </c>
      <c r="J321" t="s">
        <v>72</v>
      </c>
      <c r="K321" t="s">
        <v>73</v>
      </c>
      <c r="N321" t="s">
        <v>141</v>
      </c>
      <c r="O321" t="s">
        <v>75</v>
      </c>
      <c r="P321">
        <v>4</v>
      </c>
      <c r="Q321" t="s">
        <v>76</v>
      </c>
      <c r="R321" t="s">
        <v>77</v>
      </c>
      <c r="S321" t="s">
        <v>29</v>
      </c>
      <c r="T321" t="s">
        <v>78</v>
      </c>
      <c r="U321">
        <v>70</v>
      </c>
      <c r="V321">
        <v>41</v>
      </c>
      <c r="W321">
        <v>67</v>
      </c>
      <c r="X321" s="2">
        <f>AVERAGE(Query1[[#This Row],[Assignment 1 Score]],Query1[[#This Row],[Assignment 2 Score]],Query1[[#This Row],[Midterm Exam Score]])</f>
        <v>59.333333333333336</v>
      </c>
      <c r="Y321" t="str" cm="1">
        <f t="array" ref="Y32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321" s="3">
        <f>Query1[[#This Row],[Final Score]]*5/100</f>
        <v>2.9666666666666668</v>
      </c>
      <c r="AA321" s="4">
        <v>0.86849999999999994</v>
      </c>
      <c r="AB321" s="4"/>
      <c r="AC321" s="5">
        <v>12860</v>
      </c>
      <c r="AD321" s="5">
        <v>0</v>
      </c>
      <c r="AE321" s="5">
        <f>Query1[[#This Row],[Tuition Fee]]-Query1[[#This Row],[Scholarship Amount]]</f>
        <v>12860</v>
      </c>
      <c r="AF321" t="s">
        <v>31</v>
      </c>
    </row>
    <row r="322" spans="1:32" x14ac:dyDescent="0.35">
      <c r="A322" t="s">
        <v>722</v>
      </c>
      <c r="B322" t="s">
        <v>1028</v>
      </c>
      <c r="C322" t="s">
        <v>1407</v>
      </c>
      <c r="D322" t="str">
        <f>LEFT(Query1[[#This Row],[First Name]],1) &amp; "." &amp; Query1[[#This Row],[Last Name]] &amp; "@university.edu"</f>
        <v>K.Jursch@university.edu</v>
      </c>
      <c r="E322" t="s">
        <v>32</v>
      </c>
      <c r="F322" s="1">
        <v>39006</v>
      </c>
      <c r="G322" s="2">
        <f ca="1">DATEDIF(Query1[[#This Row],[Date of Birth]],TODAY(),"Y")</f>
        <v>19</v>
      </c>
      <c r="H322" t="s">
        <v>124</v>
      </c>
      <c r="I322">
        <v>2020</v>
      </c>
      <c r="J322" t="s">
        <v>34</v>
      </c>
      <c r="K322" t="s">
        <v>35</v>
      </c>
      <c r="N322" t="s">
        <v>143</v>
      </c>
      <c r="O322" t="s">
        <v>37</v>
      </c>
      <c r="P322">
        <v>3</v>
      </c>
      <c r="Q322" t="s">
        <v>82</v>
      </c>
      <c r="R322" t="s">
        <v>83</v>
      </c>
      <c r="S322" t="s">
        <v>40</v>
      </c>
      <c r="T322" t="s">
        <v>41</v>
      </c>
      <c r="U322">
        <v>34</v>
      </c>
      <c r="V322">
        <v>38</v>
      </c>
      <c r="W322">
        <v>97</v>
      </c>
      <c r="X322" s="2">
        <f>AVERAGE(Query1[[#This Row],[Assignment 1 Score]],Query1[[#This Row],[Assignment 2 Score]],Query1[[#This Row],[Midterm Exam Score]])</f>
        <v>56.333333333333336</v>
      </c>
      <c r="Y322" t="str" cm="1">
        <f t="array" ref="Y32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322" s="3">
        <f>Query1[[#This Row],[Final Score]]*5/100</f>
        <v>2.8166666666666669</v>
      </c>
      <c r="AA322" s="4">
        <v>0.94350000000000001</v>
      </c>
      <c r="AB322" s="4"/>
      <c r="AC322" s="5">
        <v>12383</v>
      </c>
      <c r="AD322" s="5">
        <v>2000</v>
      </c>
      <c r="AE322" s="5">
        <f>Query1[[#This Row],[Tuition Fee]]-Query1[[#This Row],[Scholarship Amount]]</f>
        <v>10383</v>
      </c>
      <c r="AF322" t="s">
        <v>60</v>
      </c>
    </row>
    <row r="323" spans="1:32" x14ac:dyDescent="0.35">
      <c r="A323" t="s">
        <v>723</v>
      </c>
      <c r="B323" t="s">
        <v>1065</v>
      </c>
      <c r="C323" t="s">
        <v>1408</v>
      </c>
      <c r="D323" t="str">
        <f>LEFT(Query1[[#This Row],[First Name]],1) &amp; "." &amp; Query1[[#This Row],[Last Name]] &amp; "@university.edu"</f>
        <v>I.Saing@university.edu</v>
      </c>
      <c r="E323" t="s">
        <v>43</v>
      </c>
      <c r="F323" s="1">
        <v>39016</v>
      </c>
      <c r="G323" s="2">
        <f ca="1">DATEDIF(Query1[[#This Row],[Date of Birth]],TODAY(),"Y")</f>
        <v>19</v>
      </c>
      <c r="H323" t="s">
        <v>127</v>
      </c>
      <c r="I323">
        <v>2021</v>
      </c>
      <c r="J323" t="s">
        <v>45</v>
      </c>
      <c r="K323" t="s">
        <v>46</v>
      </c>
      <c r="N323" t="s">
        <v>145</v>
      </c>
      <c r="O323" t="s">
        <v>48</v>
      </c>
      <c r="P323">
        <v>3</v>
      </c>
      <c r="Q323" t="s">
        <v>89</v>
      </c>
      <c r="R323" t="s">
        <v>90</v>
      </c>
      <c r="S323" t="s">
        <v>29</v>
      </c>
      <c r="T323" t="s">
        <v>51</v>
      </c>
      <c r="U323">
        <v>40</v>
      </c>
      <c r="V323">
        <v>59</v>
      </c>
      <c r="W323">
        <v>76</v>
      </c>
      <c r="X323" s="2">
        <f>AVERAGE(Query1[[#This Row],[Assignment 1 Score]],Query1[[#This Row],[Assignment 2 Score]],Query1[[#This Row],[Midterm Exam Score]])</f>
        <v>58.333333333333336</v>
      </c>
      <c r="Y323" t="str" cm="1">
        <f t="array" ref="Y32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323" s="3">
        <f>Query1[[#This Row],[Final Score]]*5/100</f>
        <v>2.916666666666667</v>
      </c>
      <c r="AA323" s="4">
        <v>0.89524999999999988</v>
      </c>
      <c r="AB323" s="4"/>
      <c r="AC323" s="5">
        <v>13406</v>
      </c>
      <c r="AD323" s="5">
        <v>5000</v>
      </c>
      <c r="AE323" s="5">
        <f>Query1[[#This Row],[Tuition Fee]]-Query1[[#This Row],[Scholarship Amount]]</f>
        <v>8406</v>
      </c>
      <c r="AF323" t="s">
        <v>31</v>
      </c>
    </row>
    <row r="324" spans="1:32" x14ac:dyDescent="0.35">
      <c r="A324" t="s">
        <v>724</v>
      </c>
      <c r="B324" t="s">
        <v>1066</v>
      </c>
      <c r="C324" t="s">
        <v>1409</v>
      </c>
      <c r="D324" t="str">
        <f>LEFT(Query1[[#This Row],[First Name]],1) &amp; "." &amp; Query1[[#This Row],[Last Name]] &amp; "@university.edu"</f>
        <v>F.Keates@university.edu</v>
      </c>
      <c r="E324" t="s">
        <v>32</v>
      </c>
      <c r="F324" s="1">
        <v>39026</v>
      </c>
      <c r="G324" s="2">
        <f ca="1">DATEDIF(Query1[[#This Row],[Date of Birth]],TODAY(),"Y")</f>
        <v>19</v>
      </c>
      <c r="H324" t="s">
        <v>130</v>
      </c>
      <c r="I324">
        <v>2022</v>
      </c>
      <c r="J324" t="s">
        <v>54</v>
      </c>
      <c r="K324" t="s">
        <v>55</v>
      </c>
      <c r="N324" t="s">
        <v>147</v>
      </c>
      <c r="O324" t="s">
        <v>57</v>
      </c>
      <c r="P324">
        <v>3</v>
      </c>
      <c r="Q324" t="s">
        <v>38</v>
      </c>
      <c r="R324" t="s">
        <v>39</v>
      </c>
      <c r="S324" t="s">
        <v>40</v>
      </c>
      <c r="T324" t="s">
        <v>30</v>
      </c>
      <c r="U324">
        <v>34</v>
      </c>
      <c r="V324">
        <v>59</v>
      </c>
      <c r="W324">
        <v>90</v>
      </c>
      <c r="X324" s="2">
        <f>AVERAGE(Query1[[#This Row],[Assignment 1 Score]],Query1[[#This Row],[Assignment 2 Score]],Query1[[#This Row],[Midterm Exam Score]])</f>
        <v>61</v>
      </c>
      <c r="Y324" t="str" cm="1">
        <f t="array" ref="Y32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324" s="3">
        <f>Query1[[#This Row],[Final Score]]*5/100</f>
        <v>3.05</v>
      </c>
      <c r="AA324" s="4">
        <v>0.93149999999999999</v>
      </c>
      <c r="AB324" s="4"/>
      <c r="AC324" s="5">
        <v>11429</v>
      </c>
      <c r="AD324" s="5">
        <v>1000</v>
      </c>
      <c r="AE324" s="5">
        <f>Query1[[#This Row],[Tuition Fee]]-Query1[[#This Row],[Scholarship Amount]]</f>
        <v>10429</v>
      </c>
      <c r="AF324" t="s">
        <v>31</v>
      </c>
    </row>
    <row r="325" spans="1:32" x14ac:dyDescent="0.35">
      <c r="A325" t="s">
        <v>725</v>
      </c>
      <c r="B325" t="s">
        <v>1067</v>
      </c>
      <c r="C325" t="s">
        <v>1410</v>
      </c>
      <c r="D325" t="str">
        <f>LEFT(Query1[[#This Row],[First Name]],1) &amp; "." &amp; Query1[[#This Row],[Last Name]] &amp; "@university.edu"</f>
        <v>R.Kerss@university.edu</v>
      </c>
      <c r="E325" t="s">
        <v>43</v>
      </c>
      <c r="F325" s="1">
        <v>39036</v>
      </c>
      <c r="G325" s="2">
        <f ca="1">DATEDIF(Query1[[#This Row],[Date of Birth]],TODAY(),"Y")</f>
        <v>19</v>
      </c>
      <c r="H325" t="s">
        <v>33</v>
      </c>
      <c r="I325">
        <v>2023</v>
      </c>
      <c r="J325" t="s">
        <v>63</v>
      </c>
      <c r="K325" t="s">
        <v>98</v>
      </c>
      <c r="N325" t="s">
        <v>149</v>
      </c>
      <c r="O325" t="s">
        <v>100</v>
      </c>
      <c r="P325">
        <v>5</v>
      </c>
      <c r="Q325" t="s">
        <v>49</v>
      </c>
      <c r="R325" t="s">
        <v>50</v>
      </c>
      <c r="S325" t="s">
        <v>29</v>
      </c>
      <c r="T325" t="s">
        <v>69</v>
      </c>
      <c r="U325">
        <v>56</v>
      </c>
      <c r="V325">
        <v>40</v>
      </c>
      <c r="W325">
        <v>69</v>
      </c>
      <c r="X325" s="2">
        <f>AVERAGE(Query1[[#This Row],[Assignment 1 Score]],Query1[[#This Row],[Assignment 2 Score]],Query1[[#This Row],[Midterm Exam Score]])</f>
        <v>55</v>
      </c>
      <c r="Y325" t="str" cm="1">
        <f t="array" ref="Y32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325" s="3">
        <f>Query1[[#This Row],[Final Score]]*5/100</f>
        <v>2.75</v>
      </c>
      <c r="AA325" s="4">
        <v>0.88700000000000001</v>
      </c>
      <c r="AB325" s="4"/>
      <c r="AC325" s="5">
        <v>15452</v>
      </c>
      <c r="AD325" s="5">
        <v>0</v>
      </c>
      <c r="AE325" s="5">
        <f>Query1[[#This Row],[Tuition Fee]]-Query1[[#This Row],[Scholarship Amount]]</f>
        <v>15452</v>
      </c>
      <c r="AF325" t="s">
        <v>60</v>
      </c>
    </row>
    <row r="326" spans="1:32" x14ac:dyDescent="0.35">
      <c r="A326" t="s">
        <v>726</v>
      </c>
      <c r="B326" t="s">
        <v>1068</v>
      </c>
      <c r="C326" t="s">
        <v>1411</v>
      </c>
      <c r="D326" t="str">
        <f>LEFT(Query1[[#This Row],[First Name]],1) &amp; "." &amp; Query1[[#This Row],[Last Name]] &amp; "@university.edu"</f>
        <v>E.Josham@university.edu</v>
      </c>
      <c r="E326" t="s">
        <v>32</v>
      </c>
      <c r="F326" s="1">
        <v>39046</v>
      </c>
      <c r="G326" s="2">
        <f ca="1">DATEDIF(Query1[[#This Row],[Date of Birth]],TODAY(),"Y")</f>
        <v>18</v>
      </c>
      <c r="H326" t="s">
        <v>44</v>
      </c>
      <c r="I326">
        <v>2019</v>
      </c>
      <c r="J326" t="s">
        <v>72</v>
      </c>
      <c r="K326" t="s">
        <v>73</v>
      </c>
      <c r="N326" t="s">
        <v>151</v>
      </c>
      <c r="O326" t="s">
        <v>75</v>
      </c>
      <c r="P326">
        <v>4</v>
      </c>
      <c r="Q326" t="s">
        <v>58</v>
      </c>
      <c r="R326" t="s">
        <v>59</v>
      </c>
      <c r="S326" t="s">
        <v>40</v>
      </c>
      <c r="T326" t="s">
        <v>78</v>
      </c>
      <c r="U326">
        <v>32</v>
      </c>
      <c r="V326">
        <v>34</v>
      </c>
      <c r="W326">
        <v>83</v>
      </c>
      <c r="X326" s="2">
        <f>AVERAGE(Query1[[#This Row],[Assignment 1 Score]],Query1[[#This Row],[Assignment 2 Score]],Query1[[#This Row],[Midterm Exam Score]])</f>
        <v>49.666666666666664</v>
      </c>
      <c r="Y326" t="str" cm="1">
        <f t="array" ref="Y32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D</v>
      </c>
      <c r="Z326" s="3">
        <f>Query1[[#This Row],[Final Score]]*5/100</f>
        <v>2.4833333333333329</v>
      </c>
      <c r="AA326" s="4">
        <v>0.92625000000000002</v>
      </c>
      <c r="AB326" s="4"/>
      <c r="AC326" s="5">
        <v>12975</v>
      </c>
      <c r="AD326" s="5">
        <v>1000</v>
      </c>
      <c r="AE326" s="5">
        <f>Query1[[#This Row],[Tuition Fee]]-Query1[[#This Row],[Scholarship Amount]]</f>
        <v>11975</v>
      </c>
      <c r="AF326" t="s">
        <v>31</v>
      </c>
    </row>
    <row r="327" spans="1:32" x14ac:dyDescent="0.35">
      <c r="A327" t="s">
        <v>727</v>
      </c>
      <c r="B327" t="s">
        <v>1069</v>
      </c>
      <c r="C327" t="s">
        <v>1412</v>
      </c>
      <c r="D327" t="str">
        <f>LEFT(Query1[[#This Row],[First Name]],1) &amp; "." &amp; Query1[[#This Row],[Last Name]] &amp; "@university.edu"</f>
        <v>N.Kildea@university.edu</v>
      </c>
      <c r="E327" t="s">
        <v>43</v>
      </c>
      <c r="F327" s="1">
        <v>39056</v>
      </c>
      <c r="G327" s="2">
        <f ca="1">DATEDIF(Query1[[#This Row],[Date of Birth]],TODAY(),"Y")</f>
        <v>18</v>
      </c>
      <c r="H327" t="s">
        <v>53</v>
      </c>
      <c r="I327">
        <v>2020</v>
      </c>
      <c r="J327" t="s">
        <v>34</v>
      </c>
      <c r="K327" t="s">
        <v>35</v>
      </c>
      <c r="N327" t="s">
        <v>153</v>
      </c>
      <c r="O327" t="s">
        <v>37</v>
      </c>
      <c r="P327">
        <v>3</v>
      </c>
      <c r="Q327" t="s">
        <v>67</v>
      </c>
      <c r="R327" t="s">
        <v>68</v>
      </c>
      <c r="S327" t="s">
        <v>29</v>
      </c>
      <c r="T327" t="s">
        <v>41</v>
      </c>
      <c r="U327">
        <v>44</v>
      </c>
      <c r="V327">
        <v>56</v>
      </c>
      <c r="W327">
        <v>78</v>
      </c>
      <c r="X327" s="2">
        <f>AVERAGE(Query1[[#This Row],[Assignment 1 Score]],Query1[[#This Row],[Assignment 2 Score]],Query1[[#This Row],[Midterm Exam Score]])</f>
        <v>59.333333333333336</v>
      </c>
      <c r="Y327" t="str" cm="1">
        <f t="array" ref="Y32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327" s="3">
        <f>Query1[[#This Row],[Final Score]]*5/100</f>
        <v>2.9666666666666668</v>
      </c>
      <c r="AA327" s="4">
        <v>0.88700000000000001</v>
      </c>
      <c r="AB327" s="4"/>
      <c r="AC327" s="5">
        <v>12498</v>
      </c>
      <c r="AD327" s="5">
        <v>1000</v>
      </c>
      <c r="AE327" s="5">
        <f>Query1[[#This Row],[Tuition Fee]]-Query1[[#This Row],[Scholarship Amount]]</f>
        <v>11498</v>
      </c>
      <c r="AF327" t="s">
        <v>31</v>
      </c>
    </row>
    <row r="328" spans="1:32" x14ac:dyDescent="0.35">
      <c r="A328" t="s">
        <v>728</v>
      </c>
      <c r="B328" t="s">
        <v>1070</v>
      </c>
      <c r="C328" t="s">
        <v>1413</v>
      </c>
      <c r="D328" t="str">
        <f>LEFT(Query1[[#This Row],[First Name]],1) &amp; "." &amp; Query1[[#This Row],[Last Name]] &amp; "@university.edu"</f>
        <v>S.Cattenach@university.edu</v>
      </c>
      <c r="E328" t="s">
        <v>32</v>
      </c>
      <c r="F328" s="1">
        <v>39066</v>
      </c>
      <c r="G328" s="2">
        <f ca="1">DATEDIF(Query1[[#This Row],[Date of Birth]],TODAY(),"Y")</f>
        <v>18</v>
      </c>
      <c r="H328" t="s">
        <v>62</v>
      </c>
      <c r="I328">
        <v>2021</v>
      </c>
      <c r="J328" t="s">
        <v>45</v>
      </c>
      <c r="K328" t="s">
        <v>86</v>
      </c>
      <c r="N328" t="s">
        <v>155</v>
      </c>
      <c r="O328" t="s">
        <v>88</v>
      </c>
      <c r="P328">
        <v>3</v>
      </c>
      <c r="Q328" t="s">
        <v>76</v>
      </c>
      <c r="R328" t="s">
        <v>77</v>
      </c>
      <c r="S328" t="s">
        <v>40</v>
      </c>
      <c r="T328" t="s">
        <v>51</v>
      </c>
      <c r="U328">
        <v>70</v>
      </c>
      <c r="V328">
        <v>32</v>
      </c>
      <c r="W328">
        <v>92</v>
      </c>
      <c r="X328" s="2">
        <f>AVERAGE(Query1[[#This Row],[Assignment 1 Score]],Query1[[#This Row],[Assignment 2 Score]],Query1[[#This Row],[Midterm Exam Score]])</f>
        <v>64.666666666666671</v>
      </c>
      <c r="Y328" t="str" cm="1">
        <f t="array" ref="Y32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328" s="3">
        <f>Query1[[#This Row],[Final Score]]*5/100</f>
        <v>3.2333333333333338</v>
      </c>
      <c r="AA328" s="4">
        <v>0.92999999999999994</v>
      </c>
      <c r="AB328" s="4"/>
      <c r="AC328" s="5">
        <v>13021</v>
      </c>
      <c r="AD328" s="5">
        <v>2000</v>
      </c>
      <c r="AE328" s="5">
        <f>Query1[[#This Row],[Tuition Fee]]-Query1[[#This Row],[Scholarship Amount]]</f>
        <v>11021</v>
      </c>
      <c r="AF328" t="s">
        <v>60</v>
      </c>
    </row>
    <row r="329" spans="1:32" x14ac:dyDescent="0.35">
      <c r="A329" t="s">
        <v>729</v>
      </c>
      <c r="B329" t="s">
        <v>1071</v>
      </c>
      <c r="C329" t="s">
        <v>1414</v>
      </c>
      <c r="D329" t="str">
        <f>LEFT(Query1[[#This Row],[First Name]],1) &amp; "." &amp; Query1[[#This Row],[Last Name]] &amp; "@university.edu"</f>
        <v>C.Bercher@university.edu</v>
      </c>
      <c r="E329" t="s">
        <v>43</v>
      </c>
      <c r="F329" s="1">
        <v>39076</v>
      </c>
      <c r="G329" s="2">
        <f ca="1">DATEDIF(Query1[[#This Row],[Date of Birth]],TODAY(),"Y")</f>
        <v>18</v>
      </c>
      <c r="H329" t="s">
        <v>71</v>
      </c>
      <c r="I329">
        <v>2022</v>
      </c>
      <c r="J329" t="s">
        <v>54</v>
      </c>
      <c r="K329" t="s">
        <v>93</v>
      </c>
      <c r="N329" t="s">
        <v>157</v>
      </c>
      <c r="O329" t="s">
        <v>95</v>
      </c>
      <c r="P329">
        <v>3</v>
      </c>
      <c r="Q329" t="s">
        <v>82</v>
      </c>
      <c r="R329" t="s">
        <v>83</v>
      </c>
      <c r="S329" t="s">
        <v>29</v>
      </c>
      <c r="T329" t="s">
        <v>30</v>
      </c>
      <c r="U329">
        <v>50</v>
      </c>
      <c r="V329">
        <v>44</v>
      </c>
      <c r="W329">
        <v>71</v>
      </c>
      <c r="X329" s="2">
        <f>AVERAGE(Query1[[#This Row],[Assignment 1 Score]],Query1[[#This Row],[Assignment 2 Score]],Query1[[#This Row],[Midterm Exam Score]])</f>
        <v>55</v>
      </c>
      <c r="Y329" t="str" cm="1">
        <f t="array" ref="Y32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329" s="3">
        <f>Query1[[#This Row],[Final Score]]*5/100</f>
        <v>2.75</v>
      </c>
      <c r="AA329" s="4">
        <v>0.87874999999999992</v>
      </c>
      <c r="AB329" s="4"/>
      <c r="AC329" s="5">
        <v>11044</v>
      </c>
      <c r="AD329" s="5">
        <v>0</v>
      </c>
      <c r="AE329" s="5">
        <f>Query1[[#This Row],[Tuition Fee]]-Query1[[#This Row],[Scholarship Amount]]</f>
        <v>11044</v>
      </c>
      <c r="AF329" t="s">
        <v>31</v>
      </c>
    </row>
    <row r="330" spans="1:32" x14ac:dyDescent="0.35">
      <c r="A330" t="s">
        <v>730</v>
      </c>
      <c r="B330" t="s">
        <v>1072</v>
      </c>
      <c r="C330" t="s">
        <v>1415</v>
      </c>
      <c r="D330" t="str">
        <f>LEFT(Query1[[#This Row],[First Name]],1) &amp; "." &amp; Query1[[#This Row],[Last Name]] &amp; "@university.edu"</f>
        <v>D.Grinham@university.edu</v>
      </c>
      <c r="E330" t="s">
        <v>32</v>
      </c>
      <c r="F330" s="1">
        <v>39086</v>
      </c>
      <c r="G330" s="2">
        <f ca="1">DATEDIF(Query1[[#This Row],[Date of Birth]],TODAY(),"Y")</f>
        <v>18</v>
      </c>
      <c r="H330" t="s">
        <v>80</v>
      </c>
      <c r="I330">
        <v>2023</v>
      </c>
      <c r="J330" t="s">
        <v>63</v>
      </c>
      <c r="K330" t="s">
        <v>120</v>
      </c>
      <c r="N330" t="s">
        <v>159</v>
      </c>
      <c r="O330" t="s">
        <v>122</v>
      </c>
      <c r="P330">
        <v>5</v>
      </c>
      <c r="Q330" t="s">
        <v>89</v>
      </c>
      <c r="R330" t="s">
        <v>90</v>
      </c>
      <c r="S330" t="s">
        <v>40</v>
      </c>
      <c r="T330" t="s">
        <v>69</v>
      </c>
      <c r="U330">
        <v>60</v>
      </c>
      <c r="V330">
        <v>70</v>
      </c>
      <c r="W330">
        <v>85</v>
      </c>
      <c r="X330" s="2">
        <f>AVERAGE(Query1[[#This Row],[Assignment 1 Score]],Query1[[#This Row],[Assignment 2 Score]],Query1[[#This Row],[Midterm Exam Score]])</f>
        <v>71.666666666666671</v>
      </c>
      <c r="Y330" t="str" cm="1">
        <f t="array" ref="Y33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330" s="3">
        <f>Query1[[#This Row],[Final Score]]*5/100</f>
        <v>3.5833333333333339</v>
      </c>
      <c r="AA330" s="4">
        <v>0.91799999999999993</v>
      </c>
      <c r="AB330" s="4"/>
      <c r="AC330" s="5">
        <v>15067</v>
      </c>
      <c r="AD330" s="5">
        <v>5000</v>
      </c>
      <c r="AE330" s="5">
        <f>Query1[[#This Row],[Tuition Fee]]-Query1[[#This Row],[Scholarship Amount]]</f>
        <v>10067</v>
      </c>
      <c r="AF330" t="s">
        <v>31</v>
      </c>
    </row>
    <row r="331" spans="1:32" x14ac:dyDescent="0.35">
      <c r="A331" t="s">
        <v>731</v>
      </c>
      <c r="B331" t="s">
        <v>1073</v>
      </c>
      <c r="C331" t="s">
        <v>1416</v>
      </c>
      <c r="D331" t="str">
        <f>LEFT(Query1[[#This Row],[First Name]],1) &amp; "." &amp; Query1[[#This Row],[Last Name]] &amp; "@university.edu"</f>
        <v>K.Di Pietro@university.edu</v>
      </c>
      <c r="E331" t="s">
        <v>43</v>
      </c>
      <c r="F331" s="1">
        <v>39096</v>
      </c>
      <c r="G331" s="2">
        <f ca="1">DATEDIF(Query1[[#This Row],[Date of Birth]],TODAY(),"Y")</f>
        <v>18</v>
      </c>
      <c r="H331" t="s">
        <v>85</v>
      </c>
      <c r="I331">
        <v>2019</v>
      </c>
      <c r="J331" t="s">
        <v>72</v>
      </c>
      <c r="K331" t="s">
        <v>73</v>
      </c>
      <c r="N331" t="s">
        <v>161</v>
      </c>
      <c r="O331" t="s">
        <v>75</v>
      </c>
      <c r="P331">
        <v>4</v>
      </c>
      <c r="Q331" t="s">
        <v>38</v>
      </c>
      <c r="R331" t="s">
        <v>39</v>
      </c>
      <c r="S331" t="s">
        <v>29</v>
      </c>
      <c r="T331" t="s">
        <v>78</v>
      </c>
      <c r="U331">
        <v>65</v>
      </c>
      <c r="V331">
        <v>80</v>
      </c>
      <c r="W331">
        <v>64</v>
      </c>
      <c r="X331" s="2">
        <f>AVERAGE(Query1[[#This Row],[Assignment 1 Score]],Query1[[#This Row],[Assignment 2 Score]],Query1[[#This Row],[Midterm Exam Score]])</f>
        <v>69.666666666666671</v>
      </c>
      <c r="Y331" t="str" cm="1">
        <f t="array" ref="Y33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331" s="3">
        <f>Query1[[#This Row],[Final Score]]*5/100</f>
        <v>3.4833333333333338</v>
      </c>
      <c r="AA331" s="4">
        <v>0.86975000000000002</v>
      </c>
      <c r="AB331" s="4"/>
      <c r="AC331" s="5">
        <v>12590</v>
      </c>
      <c r="AD331" s="5">
        <v>2000</v>
      </c>
      <c r="AE331" s="5">
        <f>Query1[[#This Row],[Tuition Fee]]-Query1[[#This Row],[Scholarship Amount]]</f>
        <v>10590</v>
      </c>
      <c r="AF331" t="s">
        <v>60</v>
      </c>
    </row>
    <row r="332" spans="1:32" x14ac:dyDescent="0.35">
      <c r="A332" t="s">
        <v>732</v>
      </c>
      <c r="B332" t="s">
        <v>1065</v>
      </c>
      <c r="C332" t="s">
        <v>1417</v>
      </c>
      <c r="D332" t="str">
        <f>LEFT(Query1[[#This Row],[First Name]],1) &amp; "." &amp; Query1[[#This Row],[Last Name]] &amp; "@university.edu"</f>
        <v>I.Pentelo@university.edu</v>
      </c>
      <c r="E332" t="s">
        <v>32</v>
      </c>
      <c r="F332" s="1">
        <v>39106</v>
      </c>
      <c r="G332" s="2">
        <f ca="1">DATEDIF(Query1[[#This Row],[Date of Birth]],TODAY(),"Y")</f>
        <v>18</v>
      </c>
      <c r="H332" t="s">
        <v>92</v>
      </c>
      <c r="I332">
        <v>2020</v>
      </c>
      <c r="J332" t="s">
        <v>34</v>
      </c>
      <c r="K332" t="s">
        <v>35</v>
      </c>
      <c r="N332" t="s">
        <v>163</v>
      </c>
      <c r="O332" t="s">
        <v>37</v>
      </c>
      <c r="P332">
        <v>3</v>
      </c>
      <c r="Q332" t="s">
        <v>49</v>
      </c>
      <c r="R332" t="s">
        <v>50</v>
      </c>
      <c r="S332" t="s">
        <v>40</v>
      </c>
      <c r="T332" t="s">
        <v>41</v>
      </c>
      <c r="U332">
        <v>89</v>
      </c>
      <c r="V332">
        <v>34</v>
      </c>
      <c r="W332">
        <v>94</v>
      </c>
      <c r="X332" s="2">
        <f>AVERAGE(Query1[[#This Row],[Assignment 1 Score]],Query1[[#This Row],[Assignment 2 Score]],Query1[[#This Row],[Midterm Exam Score]])</f>
        <v>72.333333333333329</v>
      </c>
      <c r="Y332" t="str" cm="1">
        <f t="array" ref="Y33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332" s="3">
        <f>Query1[[#This Row],[Final Score]]*5/100</f>
        <v>3.6166666666666663</v>
      </c>
      <c r="AA332" s="4">
        <v>0.92174999999999996</v>
      </c>
      <c r="AB332" s="4"/>
      <c r="AC332" s="5">
        <v>12113</v>
      </c>
      <c r="AD332" s="5">
        <v>1000</v>
      </c>
      <c r="AE332" s="5">
        <f>Query1[[#This Row],[Tuition Fee]]-Query1[[#This Row],[Scholarship Amount]]</f>
        <v>11113</v>
      </c>
      <c r="AF332" t="s">
        <v>31</v>
      </c>
    </row>
    <row r="333" spans="1:32" x14ac:dyDescent="0.35">
      <c r="A333" t="s">
        <v>733</v>
      </c>
      <c r="B333" t="s">
        <v>1074</v>
      </c>
      <c r="C333" t="s">
        <v>1418</v>
      </c>
      <c r="D333" t="str">
        <f>LEFT(Query1[[#This Row],[First Name]],1) &amp; "." &amp; Query1[[#This Row],[Last Name]] &amp; "@university.edu"</f>
        <v>B.Conneau@university.edu</v>
      </c>
      <c r="E333" t="s">
        <v>43</v>
      </c>
      <c r="F333" s="1">
        <v>39116</v>
      </c>
      <c r="G333" s="2">
        <f ca="1">DATEDIF(Query1[[#This Row],[Date of Birth]],TODAY(),"Y")</f>
        <v>18</v>
      </c>
      <c r="H333" t="s">
        <v>97</v>
      </c>
      <c r="I333">
        <v>2021</v>
      </c>
      <c r="J333" t="s">
        <v>45</v>
      </c>
      <c r="K333" t="s">
        <v>109</v>
      </c>
      <c r="N333" t="s">
        <v>165</v>
      </c>
      <c r="O333" t="s">
        <v>111</v>
      </c>
      <c r="P333">
        <v>3</v>
      </c>
      <c r="Q333" t="s">
        <v>58</v>
      </c>
      <c r="R333" t="s">
        <v>59</v>
      </c>
      <c r="S333" t="s">
        <v>29</v>
      </c>
      <c r="T333" t="s">
        <v>51</v>
      </c>
      <c r="U333">
        <v>68</v>
      </c>
      <c r="V333">
        <v>56</v>
      </c>
      <c r="W333">
        <v>73</v>
      </c>
      <c r="X333" s="2">
        <f>AVERAGE(Query1[[#This Row],[Assignment 1 Score]],Query1[[#This Row],[Assignment 2 Score]],Query1[[#This Row],[Midterm Exam Score]])</f>
        <v>65.666666666666671</v>
      </c>
      <c r="Y333" t="str" cm="1">
        <f t="array" ref="Y33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333" s="3">
        <f>Query1[[#This Row],[Final Score]]*5/100</f>
        <v>3.2833333333333337</v>
      </c>
      <c r="AA333" s="4">
        <v>0.87349999999999994</v>
      </c>
      <c r="AB333" s="4"/>
      <c r="AC333" s="5">
        <v>13136</v>
      </c>
      <c r="AD333" s="5">
        <v>0</v>
      </c>
      <c r="AE333" s="5">
        <f>Query1[[#This Row],[Tuition Fee]]-Query1[[#This Row],[Scholarship Amount]]</f>
        <v>13136</v>
      </c>
      <c r="AF333" t="s">
        <v>31</v>
      </c>
    </row>
    <row r="334" spans="1:32" x14ac:dyDescent="0.35">
      <c r="A334" t="s">
        <v>734</v>
      </c>
      <c r="B334" t="s">
        <v>1075</v>
      </c>
      <c r="C334" t="s">
        <v>1419</v>
      </c>
      <c r="D334" t="str">
        <f>LEFT(Query1[[#This Row],[First Name]],1) &amp; "." &amp; Query1[[#This Row],[Last Name]] &amp; "@university.edu"</f>
        <v>B.Maasze@university.edu</v>
      </c>
      <c r="E334" t="s">
        <v>32</v>
      </c>
      <c r="F334" s="1">
        <v>39126</v>
      </c>
      <c r="G334" s="2">
        <f ca="1">DATEDIF(Query1[[#This Row],[Date of Birth]],TODAY(),"Y")</f>
        <v>18</v>
      </c>
      <c r="H334" t="s">
        <v>102</v>
      </c>
      <c r="I334">
        <v>2022</v>
      </c>
      <c r="J334" t="s">
        <v>54</v>
      </c>
      <c r="K334" t="s">
        <v>114</v>
      </c>
      <c r="N334" t="s">
        <v>167</v>
      </c>
      <c r="O334" t="s">
        <v>116</v>
      </c>
      <c r="P334">
        <v>3</v>
      </c>
      <c r="Q334" t="s">
        <v>67</v>
      </c>
      <c r="R334" t="s">
        <v>68</v>
      </c>
      <c r="S334" t="s">
        <v>40</v>
      </c>
      <c r="T334" t="s">
        <v>30</v>
      </c>
      <c r="U334">
        <v>82</v>
      </c>
      <c r="V334">
        <v>32</v>
      </c>
      <c r="W334">
        <v>87</v>
      </c>
      <c r="X334" s="2">
        <f>AVERAGE(Query1[[#This Row],[Assignment 1 Score]],Query1[[#This Row],[Assignment 2 Score]],Query1[[#This Row],[Midterm Exam Score]])</f>
        <v>67</v>
      </c>
      <c r="Y334" t="str" cm="1">
        <f t="array" ref="Y33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334" s="3">
        <f>Query1[[#This Row],[Final Score]]*5/100</f>
        <v>3.35</v>
      </c>
      <c r="AA334" s="4">
        <v>0.91274999999999995</v>
      </c>
      <c r="AB334" s="4"/>
      <c r="AC334" s="5">
        <v>11159</v>
      </c>
      <c r="AD334" s="5">
        <v>2000</v>
      </c>
      <c r="AE334" s="5">
        <f>Query1[[#This Row],[Tuition Fee]]-Query1[[#This Row],[Scholarship Amount]]</f>
        <v>9159</v>
      </c>
      <c r="AF334" t="s">
        <v>60</v>
      </c>
    </row>
    <row r="335" spans="1:32" x14ac:dyDescent="0.35">
      <c r="A335" t="s">
        <v>735</v>
      </c>
      <c r="B335" t="s">
        <v>1076</v>
      </c>
      <c r="C335" t="s">
        <v>1420</v>
      </c>
      <c r="D335" t="str">
        <f>LEFT(Query1[[#This Row],[First Name]],1) &amp; "." &amp; Query1[[#This Row],[Last Name]] &amp; "@university.edu"</f>
        <v>K.House@university.edu</v>
      </c>
      <c r="E335" t="s">
        <v>43</v>
      </c>
      <c r="F335" s="1">
        <v>39136</v>
      </c>
      <c r="G335" s="2">
        <f ca="1">DATEDIF(Query1[[#This Row],[Date of Birth]],TODAY(),"Y")</f>
        <v>18</v>
      </c>
      <c r="H335" t="s">
        <v>105</v>
      </c>
      <c r="I335">
        <v>2023</v>
      </c>
      <c r="J335" t="s">
        <v>63</v>
      </c>
      <c r="K335" t="s">
        <v>64</v>
      </c>
      <c r="N335" t="s">
        <v>169</v>
      </c>
      <c r="O335" t="s">
        <v>66</v>
      </c>
      <c r="P335">
        <v>5</v>
      </c>
      <c r="Q335" t="s">
        <v>76</v>
      </c>
      <c r="R335" t="s">
        <v>77</v>
      </c>
      <c r="S335" t="s">
        <v>29</v>
      </c>
      <c r="T335" t="s">
        <v>69</v>
      </c>
      <c r="U335">
        <v>71</v>
      </c>
      <c r="V335">
        <v>44</v>
      </c>
      <c r="W335">
        <v>66</v>
      </c>
      <c r="X335" s="2">
        <f>AVERAGE(Query1[[#This Row],[Assignment 1 Score]],Query1[[#This Row],[Assignment 2 Score]],Query1[[#This Row],[Midterm Exam Score]])</f>
        <v>60.333333333333336</v>
      </c>
      <c r="Y335" t="str" cm="1">
        <f t="array" ref="Y33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335" s="3">
        <f>Query1[[#This Row],[Final Score]]*5/100</f>
        <v>3.0166666666666671</v>
      </c>
      <c r="AA335" s="4">
        <v>0.86524999999999996</v>
      </c>
      <c r="AB335" s="4"/>
      <c r="AC335" s="5">
        <v>15182</v>
      </c>
      <c r="AD335" s="5">
        <v>1000</v>
      </c>
      <c r="AE335" s="5">
        <f>Query1[[#This Row],[Tuition Fee]]-Query1[[#This Row],[Scholarship Amount]]</f>
        <v>14182</v>
      </c>
      <c r="AF335" t="s">
        <v>31</v>
      </c>
    </row>
    <row r="336" spans="1:32" x14ac:dyDescent="0.35">
      <c r="A336" t="s">
        <v>737</v>
      </c>
      <c r="B336" t="s">
        <v>1077</v>
      </c>
      <c r="C336" t="s">
        <v>1421</v>
      </c>
      <c r="D336" t="str">
        <f>LEFT(Query1[[#This Row],[First Name]],1) &amp; "." &amp; Query1[[#This Row],[Last Name]] &amp; "@university.edu"</f>
        <v>A.Ellph@university.edu</v>
      </c>
      <c r="E336" t="s">
        <v>32</v>
      </c>
      <c r="F336" s="1">
        <v>39146</v>
      </c>
      <c r="G336" s="2">
        <f ca="1">DATEDIF(Query1[[#This Row],[Date of Birth]],TODAY(),"Y")</f>
        <v>18</v>
      </c>
      <c r="H336" t="s">
        <v>108</v>
      </c>
      <c r="I336">
        <v>2019</v>
      </c>
      <c r="J336" t="s">
        <v>72</v>
      </c>
      <c r="K336" t="s">
        <v>73</v>
      </c>
      <c r="N336" t="s">
        <v>171</v>
      </c>
      <c r="O336" t="s">
        <v>75</v>
      </c>
      <c r="P336">
        <v>4</v>
      </c>
      <c r="Q336" t="s">
        <v>82</v>
      </c>
      <c r="R336" t="s">
        <v>83</v>
      </c>
      <c r="S336" t="s">
        <v>40</v>
      </c>
      <c r="T336" t="s">
        <v>78</v>
      </c>
      <c r="U336">
        <v>85</v>
      </c>
      <c r="V336">
        <v>70</v>
      </c>
      <c r="W336">
        <v>80</v>
      </c>
      <c r="X336" s="2">
        <f>AVERAGE(Query1[[#This Row],[Assignment 1 Score]],Query1[[#This Row],[Assignment 2 Score]],Query1[[#This Row],[Midterm Exam Score]])</f>
        <v>78.333333333333329</v>
      </c>
      <c r="Y336" t="str" cm="1">
        <f t="array" ref="Y33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336" s="3">
        <f>Query1[[#This Row],[Final Score]]*5/100</f>
        <v>3.9166666666666661</v>
      </c>
      <c r="AA336" s="4">
        <v>0.90449999999999997</v>
      </c>
      <c r="AB336" s="4"/>
      <c r="AC336" s="5">
        <v>12705</v>
      </c>
      <c r="AD336" s="5">
        <v>1000</v>
      </c>
      <c r="AE336" s="5">
        <f>Query1[[#This Row],[Tuition Fee]]-Query1[[#This Row],[Scholarship Amount]]</f>
        <v>11705</v>
      </c>
      <c r="AF336" t="s">
        <v>31</v>
      </c>
    </row>
    <row r="337" spans="1:32" x14ac:dyDescent="0.35">
      <c r="A337" t="s">
        <v>738</v>
      </c>
      <c r="B337" t="s">
        <v>1078</v>
      </c>
      <c r="C337" t="s">
        <v>1422</v>
      </c>
      <c r="D337" t="str">
        <f>LEFT(Query1[[#This Row],[First Name]],1) &amp; "." &amp; Query1[[#This Row],[Last Name]] &amp; "@university.edu"</f>
        <v>M.Lockner@university.edu</v>
      </c>
      <c r="E337" t="s">
        <v>43</v>
      </c>
      <c r="F337" s="1">
        <v>39156</v>
      </c>
      <c r="G337" s="2">
        <f ca="1">DATEDIF(Query1[[#This Row],[Date of Birth]],TODAY(),"Y")</f>
        <v>18</v>
      </c>
      <c r="H337" t="s">
        <v>113</v>
      </c>
      <c r="I337">
        <v>2020</v>
      </c>
      <c r="J337" t="s">
        <v>34</v>
      </c>
      <c r="K337" t="s">
        <v>35</v>
      </c>
      <c r="N337" t="s">
        <v>173</v>
      </c>
      <c r="O337" t="s">
        <v>37</v>
      </c>
      <c r="P337">
        <v>3</v>
      </c>
      <c r="Q337" t="s">
        <v>89</v>
      </c>
      <c r="R337" t="s">
        <v>90</v>
      </c>
      <c r="S337" t="s">
        <v>29</v>
      </c>
      <c r="T337" t="s">
        <v>41</v>
      </c>
      <c r="U337">
        <v>64</v>
      </c>
      <c r="V337">
        <v>34</v>
      </c>
      <c r="W337">
        <v>59</v>
      </c>
      <c r="X337" s="2">
        <f>AVERAGE(Query1[[#This Row],[Assignment 1 Score]],Query1[[#This Row],[Assignment 2 Score]],Query1[[#This Row],[Midterm Exam Score]])</f>
        <v>52.333333333333336</v>
      </c>
      <c r="Y337" t="str" cm="1">
        <f t="array" ref="Y33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337" s="3">
        <f>Query1[[#This Row],[Final Score]]*5/100</f>
        <v>2.6166666666666667</v>
      </c>
      <c r="AA337" s="4">
        <v>0.85324999999999995</v>
      </c>
      <c r="AB337" s="4"/>
      <c r="AC337" s="5">
        <v>12228</v>
      </c>
      <c r="AD337" s="5">
        <v>0</v>
      </c>
      <c r="AE337" s="5">
        <f>Query1[[#This Row],[Tuition Fee]]-Query1[[#This Row],[Scholarship Amount]]</f>
        <v>12228</v>
      </c>
      <c r="AF337" t="s">
        <v>60</v>
      </c>
    </row>
    <row r="338" spans="1:32" x14ac:dyDescent="0.35">
      <c r="A338" t="s">
        <v>739</v>
      </c>
      <c r="B338" t="s">
        <v>1079</v>
      </c>
      <c r="C338" t="s">
        <v>1423</v>
      </c>
      <c r="D338" t="str">
        <f>LEFT(Query1[[#This Row],[First Name]],1) &amp; "." &amp; Query1[[#This Row],[Last Name]] &amp; "@university.edu"</f>
        <v>M.Ross@university.edu</v>
      </c>
      <c r="E338" t="s">
        <v>32</v>
      </c>
      <c r="F338" s="1">
        <v>39166</v>
      </c>
      <c r="G338" s="2">
        <f ca="1">DATEDIF(Query1[[#This Row],[Date of Birth]],TODAY(),"Y")</f>
        <v>18</v>
      </c>
      <c r="H338" t="s">
        <v>119</v>
      </c>
      <c r="I338">
        <v>2021</v>
      </c>
      <c r="J338" t="s">
        <v>45</v>
      </c>
      <c r="K338" t="s">
        <v>131</v>
      </c>
      <c r="N338" t="s">
        <v>175</v>
      </c>
      <c r="O338" t="s">
        <v>133</v>
      </c>
      <c r="P338">
        <v>3</v>
      </c>
      <c r="Q338" t="s">
        <v>38</v>
      </c>
      <c r="R338" t="s">
        <v>39</v>
      </c>
      <c r="S338" t="s">
        <v>40</v>
      </c>
      <c r="T338" t="s">
        <v>51</v>
      </c>
      <c r="U338">
        <v>88</v>
      </c>
      <c r="V338">
        <v>40</v>
      </c>
      <c r="W338">
        <v>89</v>
      </c>
      <c r="X338" s="2">
        <f>AVERAGE(Query1[[#This Row],[Assignment 1 Score]],Query1[[#This Row],[Assignment 2 Score]],Query1[[#This Row],[Midterm Exam Score]])</f>
        <v>72.333333333333329</v>
      </c>
      <c r="Y338" t="str" cm="1">
        <f t="array" ref="Y33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338" s="3">
        <f>Query1[[#This Row],[Final Score]]*5/100</f>
        <v>3.6166666666666663</v>
      </c>
      <c r="AA338" s="4">
        <v>0.90825</v>
      </c>
      <c r="AB338" s="4"/>
      <c r="AC338" s="5">
        <v>13251</v>
      </c>
      <c r="AD338" s="5">
        <v>1000</v>
      </c>
      <c r="AE338" s="5">
        <f>Query1[[#This Row],[Tuition Fee]]-Query1[[#This Row],[Scholarship Amount]]</f>
        <v>12251</v>
      </c>
      <c r="AF338" t="s">
        <v>31</v>
      </c>
    </row>
    <row r="339" spans="1:32" x14ac:dyDescent="0.35">
      <c r="A339" t="s">
        <v>740</v>
      </c>
      <c r="B339" t="s">
        <v>1080</v>
      </c>
      <c r="C339" t="s">
        <v>1424</v>
      </c>
      <c r="D339" t="str">
        <f>LEFT(Query1[[#This Row],[First Name]],1) &amp; "." &amp; Query1[[#This Row],[Last Name]] &amp; "@university.edu"</f>
        <v>V.Perritt@university.edu</v>
      </c>
      <c r="E339" t="s">
        <v>43</v>
      </c>
      <c r="F339" s="1">
        <v>39176</v>
      </c>
      <c r="G339" s="2">
        <f ca="1">DATEDIF(Query1[[#This Row],[Date of Birth]],TODAY(),"Y")</f>
        <v>18</v>
      </c>
      <c r="H339" t="s">
        <v>124</v>
      </c>
      <c r="I339">
        <v>2022</v>
      </c>
      <c r="J339" t="s">
        <v>54</v>
      </c>
      <c r="K339" t="s">
        <v>135</v>
      </c>
      <c r="N339" t="s">
        <v>177</v>
      </c>
      <c r="O339" t="s">
        <v>137</v>
      </c>
      <c r="P339">
        <v>3</v>
      </c>
      <c r="Q339" t="s">
        <v>49</v>
      </c>
      <c r="R339" t="s">
        <v>50</v>
      </c>
      <c r="S339" t="s">
        <v>29</v>
      </c>
      <c r="T339" t="s">
        <v>30</v>
      </c>
      <c r="U339">
        <v>67</v>
      </c>
      <c r="V339">
        <v>34</v>
      </c>
      <c r="W339">
        <v>68</v>
      </c>
      <c r="X339" s="2">
        <f>AVERAGE(Query1[[#This Row],[Assignment 1 Score]],Query1[[#This Row],[Assignment 2 Score]],Query1[[#This Row],[Midterm Exam Score]])</f>
        <v>56.333333333333336</v>
      </c>
      <c r="Y339" t="str" cm="1">
        <f t="array" ref="Y33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339" s="3">
        <f>Query1[[#This Row],[Final Score]]*5/100</f>
        <v>2.8166666666666669</v>
      </c>
      <c r="AA339" s="4">
        <v>0.86</v>
      </c>
      <c r="AB339" s="4"/>
      <c r="AC339" s="5">
        <v>11274</v>
      </c>
      <c r="AD339" s="5">
        <v>1000</v>
      </c>
      <c r="AE339" s="5">
        <f>Query1[[#This Row],[Tuition Fee]]-Query1[[#This Row],[Scholarship Amount]]</f>
        <v>10274</v>
      </c>
      <c r="AF339" t="s">
        <v>31</v>
      </c>
    </row>
    <row r="340" spans="1:32" x14ac:dyDescent="0.35">
      <c r="A340" t="s">
        <v>741</v>
      </c>
      <c r="B340" t="s">
        <v>1081</v>
      </c>
      <c r="C340" t="s">
        <v>1425</v>
      </c>
      <c r="D340" t="str">
        <f>LEFT(Query1[[#This Row],[First Name]],1) &amp; "." &amp; Query1[[#This Row],[Last Name]] &amp; "@university.edu"</f>
        <v>H.Pochet@university.edu</v>
      </c>
      <c r="E340" t="s">
        <v>32</v>
      </c>
      <c r="F340" s="1">
        <v>39186</v>
      </c>
      <c r="G340" s="2">
        <f ca="1">DATEDIF(Query1[[#This Row],[Date of Birth]],TODAY(),"Y")</f>
        <v>18</v>
      </c>
      <c r="H340" t="s">
        <v>127</v>
      </c>
      <c r="I340">
        <v>2023</v>
      </c>
      <c r="J340" t="s">
        <v>63</v>
      </c>
      <c r="K340" t="s">
        <v>98</v>
      </c>
      <c r="N340" t="s">
        <v>179</v>
      </c>
      <c r="O340" t="s">
        <v>100</v>
      </c>
      <c r="P340">
        <v>5</v>
      </c>
      <c r="Q340" t="s">
        <v>58</v>
      </c>
      <c r="R340" t="s">
        <v>59</v>
      </c>
      <c r="S340" t="s">
        <v>40</v>
      </c>
      <c r="T340" t="s">
        <v>69</v>
      </c>
      <c r="U340">
        <v>81</v>
      </c>
      <c r="V340">
        <v>56</v>
      </c>
      <c r="W340">
        <v>82</v>
      </c>
      <c r="X340" s="2">
        <f>AVERAGE(Query1[[#This Row],[Assignment 1 Score]],Query1[[#This Row],[Assignment 2 Score]],Query1[[#This Row],[Midterm Exam Score]])</f>
        <v>73</v>
      </c>
      <c r="Y340" t="str" cm="1">
        <f t="array" ref="Y34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B+</v>
      </c>
      <c r="Z340" s="3">
        <f>Query1[[#This Row],[Final Score]]*5/100</f>
        <v>3.65</v>
      </c>
      <c r="AA340" s="4">
        <v>0.89624999999999999</v>
      </c>
      <c r="AB340" s="4"/>
      <c r="AC340" s="5">
        <v>15297</v>
      </c>
      <c r="AD340" s="5">
        <v>2000</v>
      </c>
      <c r="AE340" s="5">
        <f>Query1[[#This Row],[Tuition Fee]]-Query1[[#This Row],[Scholarship Amount]]</f>
        <v>13297</v>
      </c>
      <c r="AF340" t="s">
        <v>60</v>
      </c>
    </row>
    <row r="341" spans="1:32" x14ac:dyDescent="0.35">
      <c r="A341" t="s">
        <v>742</v>
      </c>
      <c r="B341" t="s">
        <v>1082</v>
      </c>
      <c r="C341" t="s">
        <v>1426</v>
      </c>
      <c r="D341" t="str">
        <f>LEFT(Query1[[#This Row],[First Name]],1) &amp; "." &amp; Query1[[#This Row],[Last Name]] &amp; "@university.edu"</f>
        <v>L.Thacker@university.edu</v>
      </c>
      <c r="E341" t="s">
        <v>43</v>
      </c>
      <c r="F341" s="1">
        <v>39196</v>
      </c>
      <c r="G341" s="2">
        <f ca="1">DATEDIF(Query1[[#This Row],[Date of Birth]],TODAY(),"Y")</f>
        <v>18</v>
      </c>
      <c r="H341" t="s">
        <v>130</v>
      </c>
      <c r="I341">
        <v>2019</v>
      </c>
      <c r="J341" t="s">
        <v>72</v>
      </c>
      <c r="K341" t="s">
        <v>73</v>
      </c>
      <c r="N341" t="s">
        <v>181</v>
      </c>
      <c r="O341" t="s">
        <v>75</v>
      </c>
      <c r="P341">
        <v>4</v>
      </c>
      <c r="Q341" t="s">
        <v>67</v>
      </c>
      <c r="R341" t="s">
        <v>68</v>
      </c>
      <c r="S341" t="s">
        <v>29</v>
      </c>
      <c r="T341" t="s">
        <v>78</v>
      </c>
      <c r="U341">
        <v>60</v>
      </c>
      <c r="V341">
        <v>32</v>
      </c>
      <c r="W341">
        <v>61</v>
      </c>
      <c r="X341" s="2">
        <f>AVERAGE(Query1[[#This Row],[Assignment 1 Score]],Query1[[#This Row],[Assignment 2 Score]],Query1[[#This Row],[Midterm Exam Score]])</f>
        <v>51</v>
      </c>
      <c r="Y341" t="str" cm="1">
        <f t="array" ref="Y341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</v>
      </c>
      <c r="Z341" s="3">
        <f>Query1[[#This Row],[Final Score]]*5/100</f>
        <v>2.5499999999999998</v>
      </c>
      <c r="AA341" s="4">
        <v>0.84799999999999998</v>
      </c>
      <c r="AB341" s="4"/>
      <c r="AC341" s="5">
        <v>12820</v>
      </c>
      <c r="AD341" s="5">
        <v>0</v>
      </c>
      <c r="AE341" s="5">
        <f>Query1[[#This Row],[Tuition Fee]]-Query1[[#This Row],[Scholarship Amount]]</f>
        <v>12820</v>
      </c>
      <c r="AF341" t="s">
        <v>31</v>
      </c>
    </row>
    <row r="342" spans="1:32" x14ac:dyDescent="0.35">
      <c r="A342" t="s">
        <v>743</v>
      </c>
      <c r="B342" t="s">
        <v>1083</v>
      </c>
      <c r="C342" t="s">
        <v>1427</v>
      </c>
      <c r="D342" t="str">
        <f>LEFT(Query1[[#This Row],[First Name]],1) &amp; "." &amp; Query1[[#This Row],[Last Name]] &amp; "@university.edu"</f>
        <v>B.de Almeida@university.edu</v>
      </c>
      <c r="E342" t="s">
        <v>32</v>
      </c>
      <c r="F342" s="1">
        <v>39206</v>
      </c>
      <c r="G342" s="2">
        <f ca="1">DATEDIF(Query1[[#This Row],[Date of Birth]],TODAY(),"Y")</f>
        <v>18</v>
      </c>
      <c r="H342" t="s">
        <v>33</v>
      </c>
      <c r="I342">
        <v>2020</v>
      </c>
      <c r="J342" t="s">
        <v>34</v>
      </c>
      <c r="K342" t="s">
        <v>35</v>
      </c>
      <c r="N342" t="s">
        <v>183</v>
      </c>
      <c r="O342" t="s">
        <v>37</v>
      </c>
      <c r="P342">
        <v>3</v>
      </c>
      <c r="Q342" t="s">
        <v>76</v>
      </c>
      <c r="R342" t="s">
        <v>77</v>
      </c>
      <c r="S342" t="s">
        <v>40</v>
      </c>
      <c r="T342" t="s">
        <v>41</v>
      </c>
      <c r="U342">
        <v>84</v>
      </c>
      <c r="V342">
        <v>44</v>
      </c>
      <c r="W342">
        <v>75</v>
      </c>
      <c r="X342" s="2">
        <f>AVERAGE(Query1[[#This Row],[Assignment 1 Score]],Query1[[#This Row],[Assignment 2 Score]],Query1[[#This Row],[Midterm Exam Score]])</f>
        <v>67.666666666666671</v>
      </c>
      <c r="Y342" t="str" cm="1">
        <f t="array" ref="Y342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342" s="3">
        <f>Query1[[#This Row],[Final Score]]*5/100</f>
        <v>3.3833333333333337</v>
      </c>
      <c r="AA342" s="4">
        <v>0.91100000000000003</v>
      </c>
      <c r="AB342" s="4"/>
      <c r="AC342" s="5">
        <v>12343</v>
      </c>
      <c r="AD342" s="5">
        <v>1000</v>
      </c>
      <c r="AE342" s="5">
        <f>Query1[[#This Row],[Tuition Fee]]-Query1[[#This Row],[Scholarship Amount]]</f>
        <v>11343</v>
      </c>
      <c r="AF342" t="s">
        <v>31</v>
      </c>
    </row>
    <row r="343" spans="1:32" x14ac:dyDescent="0.35">
      <c r="A343" t="s">
        <v>744</v>
      </c>
      <c r="B343" t="s">
        <v>1084</v>
      </c>
      <c r="C343" t="s">
        <v>1428</v>
      </c>
      <c r="D343" t="str">
        <f>LEFT(Query1[[#This Row],[First Name]],1) &amp; "." &amp; Query1[[#This Row],[Last Name]] &amp; "@university.edu"</f>
        <v>L.Upward@university.edu</v>
      </c>
      <c r="E343" t="s">
        <v>43</v>
      </c>
      <c r="F343" s="1">
        <v>39216</v>
      </c>
      <c r="G343" s="2">
        <f ca="1">DATEDIF(Query1[[#This Row],[Date of Birth]],TODAY(),"Y")</f>
        <v>18</v>
      </c>
      <c r="H343" t="s">
        <v>44</v>
      </c>
      <c r="I343">
        <v>2021</v>
      </c>
      <c r="J343" t="s">
        <v>45</v>
      </c>
      <c r="K343" t="s">
        <v>46</v>
      </c>
      <c r="N343" t="s">
        <v>185</v>
      </c>
      <c r="O343" t="s">
        <v>48</v>
      </c>
      <c r="P343">
        <v>3</v>
      </c>
      <c r="Q343" t="s">
        <v>82</v>
      </c>
      <c r="R343" t="s">
        <v>83</v>
      </c>
      <c r="S343" t="s">
        <v>29</v>
      </c>
      <c r="T343" t="s">
        <v>51</v>
      </c>
      <c r="U343">
        <v>63</v>
      </c>
      <c r="V343">
        <v>70</v>
      </c>
      <c r="W343">
        <v>70</v>
      </c>
      <c r="X343" s="2">
        <f>AVERAGE(Query1[[#This Row],[Assignment 1 Score]],Query1[[#This Row],[Assignment 2 Score]],Query1[[#This Row],[Midterm Exam Score]])</f>
        <v>67.666666666666671</v>
      </c>
      <c r="Y343" t="str" cm="1">
        <f t="array" ref="Y343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343" s="3">
        <f>Query1[[#This Row],[Final Score]]*5/100</f>
        <v>3.3833333333333337</v>
      </c>
      <c r="AA343" s="4">
        <v>0.87175000000000002</v>
      </c>
      <c r="AB343" s="4"/>
      <c r="AC343" s="5">
        <v>13366</v>
      </c>
      <c r="AD343" s="5">
        <v>2000</v>
      </c>
      <c r="AE343" s="5">
        <f>Query1[[#This Row],[Tuition Fee]]-Query1[[#This Row],[Scholarship Amount]]</f>
        <v>11366</v>
      </c>
      <c r="AF343" t="s">
        <v>60</v>
      </c>
    </row>
    <row r="344" spans="1:32" x14ac:dyDescent="0.35">
      <c r="A344" t="s">
        <v>745</v>
      </c>
      <c r="B344" t="s">
        <v>1085</v>
      </c>
      <c r="C344" t="s">
        <v>1429</v>
      </c>
      <c r="D344" t="str">
        <f>LEFT(Query1[[#This Row],[First Name]],1) &amp; "." &amp; Query1[[#This Row],[Last Name]] &amp; "@university.edu"</f>
        <v>F.Losbie@university.edu</v>
      </c>
      <c r="E344" t="s">
        <v>32</v>
      </c>
      <c r="F344" s="1">
        <v>39226</v>
      </c>
      <c r="G344" s="2">
        <f ca="1">DATEDIF(Query1[[#This Row],[Date of Birth]],TODAY(),"Y")</f>
        <v>18</v>
      </c>
      <c r="H344" t="s">
        <v>53</v>
      </c>
      <c r="I344">
        <v>2022</v>
      </c>
      <c r="J344" t="s">
        <v>54</v>
      </c>
      <c r="K344" t="s">
        <v>55</v>
      </c>
      <c r="N344" t="s">
        <v>187</v>
      </c>
      <c r="O344" t="s">
        <v>57</v>
      </c>
      <c r="P344">
        <v>3</v>
      </c>
      <c r="Q344" t="s">
        <v>89</v>
      </c>
      <c r="R344" t="s">
        <v>90</v>
      </c>
      <c r="S344" t="s">
        <v>40</v>
      </c>
      <c r="T344" t="s">
        <v>30</v>
      </c>
      <c r="U344">
        <v>77</v>
      </c>
      <c r="V344">
        <v>50</v>
      </c>
      <c r="W344">
        <v>84</v>
      </c>
      <c r="X344" s="2">
        <f>AVERAGE(Query1[[#This Row],[Assignment 1 Score]],Query1[[#This Row],[Assignment 2 Score]],Query1[[#This Row],[Midterm Exam Score]])</f>
        <v>70.333333333333329</v>
      </c>
      <c r="Y344" t="str" cm="1">
        <f t="array" ref="Y344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</v>
      </c>
      <c r="Z344" s="3">
        <f>Query1[[#This Row],[Final Score]]*5/100</f>
        <v>3.5166666666666662</v>
      </c>
      <c r="AA344" s="4">
        <v>0.91100000000000003</v>
      </c>
      <c r="AB344" s="4"/>
      <c r="AC344" s="5">
        <v>11389</v>
      </c>
      <c r="AD344" s="5">
        <v>5000</v>
      </c>
      <c r="AE344" s="5">
        <f>Query1[[#This Row],[Tuition Fee]]-Query1[[#This Row],[Scholarship Amount]]</f>
        <v>6389</v>
      </c>
      <c r="AF344" t="s">
        <v>31</v>
      </c>
    </row>
    <row r="345" spans="1:32" x14ac:dyDescent="0.35">
      <c r="A345" t="s">
        <v>746</v>
      </c>
      <c r="B345" t="s">
        <v>1086</v>
      </c>
      <c r="C345" t="s">
        <v>1430</v>
      </c>
      <c r="D345" t="str">
        <f>LEFT(Query1[[#This Row],[First Name]],1) &amp; "." &amp; Query1[[#This Row],[Last Name]] &amp; "@university.edu"</f>
        <v>W.Toothill@university.edu</v>
      </c>
      <c r="E345" t="s">
        <v>43</v>
      </c>
      <c r="F345" s="1">
        <v>39236</v>
      </c>
      <c r="G345" s="2">
        <f ca="1">DATEDIF(Query1[[#This Row],[Date of Birth]],TODAY(),"Y")</f>
        <v>18</v>
      </c>
      <c r="H345" t="s">
        <v>62</v>
      </c>
      <c r="I345">
        <v>2023</v>
      </c>
      <c r="J345" t="s">
        <v>63</v>
      </c>
      <c r="K345" t="s">
        <v>120</v>
      </c>
      <c r="N345" t="s">
        <v>189</v>
      </c>
      <c r="O345" t="s">
        <v>122</v>
      </c>
      <c r="P345">
        <v>5</v>
      </c>
      <c r="Q345" t="s">
        <v>38</v>
      </c>
      <c r="R345" t="s">
        <v>39</v>
      </c>
      <c r="S345" t="s">
        <v>29</v>
      </c>
      <c r="T345" t="s">
        <v>69</v>
      </c>
      <c r="U345">
        <v>66</v>
      </c>
      <c r="V345">
        <v>60</v>
      </c>
      <c r="W345">
        <v>63</v>
      </c>
      <c r="X345" s="2">
        <f>AVERAGE(Query1[[#This Row],[Assignment 1 Score]],Query1[[#This Row],[Assignment 2 Score]],Query1[[#This Row],[Midterm Exam Score]])</f>
        <v>63</v>
      </c>
      <c r="Y345" t="str" cm="1">
        <f t="array" ref="Y345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345" s="3">
        <f>Query1[[#This Row],[Final Score]]*5/100</f>
        <v>3.15</v>
      </c>
      <c r="AA345" s="4">
        <v>0.86349999999999993</v>
      </c>
      <c r="AB345" s="4"/>
      <c r="AC345" s="5">
        <v>15412</v>
      </c>
      <c r="AD345" s="5">
        <v>0</v>
      </c>
      <c r="AE345" s="5">
        <f>Query1[[#This Row],[Tuition Fee]]-Query1[[#This Row],[Scholarship Amount]]</f>
        <v>15412</v>
      </c>
      <c r="AF345" t="s">
        <v>31</v>
      </c>
    </row>
    <row r="346" spans="1:32" x14ac:dyDescent="0.35">
      <c r="A346" t="s">
        <v>747</v>
      </c>
      <c r="B346" t="s">
        <v>1087</v>
      </c>
      <c r="C346" t="s">
        <v>1431</v>
      </c>
      <c r="D346" t="str">
        <f>LEFT(Query1[[#This Row],[First Name]],1) &amp; "." &amp; Query1[[#This Row],[Last Name]] &amp; "@university.edu"</f>
        <v>A.Blatherwick@university.edu</v>
      </c>
      <c r="E346" t="s">
        <v>32</v>
      </c>
      <c r="F346" s="1">
        <v>39246</v>
      </c>
      <c r="G346" s="2">
        <f ca="1">DATEDIF(Query1[[#This Row],[Date of Birth]],TODAY(),"Y")</f>
        <v>18</v>
      </c>
      <c r="H346" t="s">
        <v>71</v>
      </c>
      <c r="I346">
        <v>2019</v>
      </c>
      <c r="J346" t="s">
        <v>72</v>
      </c>
      <c r="K346" t="s">
        <v>73</v>
      </c>
      <c r="N346" t="s">
        <v>191</v>
      </c>
      <c r="O346" t="s">
        <v>75</v>
      </c>
      <c r="P346">
        <v>4</v>
      </c>
      <c r="Q346" t="s">
        <v>49</v>
      </c>
      <c r="R346" t="s">
        <v>50</v>
      </c>
      <c r="S346" t="s">
        <v>40</v>
      </c>
      <c r="T346" t="s">
        <v>78</v>
      </c>
      <c r="U346">
        <v>80</v>
      </c>
      <c r="V346">
        <v>80</v>
      </c>
      <c r="W346">
        <v>77</v>
      </c>
      <c r="X346" s="2">
        <f>AVERAGE(Query1[[#This Row],[Assignment 1 Score]],Query1[[#This Row],[Assignment 2 Score]],Query1[[#This Row],[Midterm Exam Score]])</f>
        <v>79</v>
      </c>
      <c r="Y346" t="str" cm="1">
        <f t="array" ref="Y346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346" s="3">
        <f>Query1[[#This Row],[Final Score]]*5/100</f>
        <v>3.95</v>
      </c>
      <c r="AA346" s="4">
        <v>0.90274999999999994</v>
      </c>
      <c r="AB346" s="4"/>
      <c r="AC346" s="5">
        <v>12935</v>
      </c>
      <c r="AD346" s="5">
        <v>2000</v>
      </c>
      <c r="AE346" s="5">
        <f>Query1[[#This Row],[Tuition Fee]]-Query1[[#This Row],[Scholarship Amount]]</f>
        <v>10935</v>
      </c>
      <c r="AF346" t="s">
        <v>60</v>
      </c>
    </row>
    <row r="347" spans="1:32" x14ac:dyDescent="0.35">
      <c r="A347" t="s">
        <v>748</v>
      </c>
      <c r="B347" t="s">
        <v>1088</v>
      </c>
      <c r="C347" t="s">
        <v>1432</v>
      </c>
      <c r="D347" t="str">
        <f>LEFT(Query1[[#This Row],[First Name]],1) &amp; "." &amp; Query1[[#This Row],[Last Name]] &amp; "@university.edu"</f>
        <v>M.Caird@university.edu</v>
      </c>
      <c r="E347" t="s">
        <v>43</v>
      </c>
      <c r="F347" s="1">
        <v>39256</v>
      </c>
      <c r="G347" s="2">
        <f ca="1">DATEDIF(Query1[[#This Row],[Date of Birth]],TODAY(),"Y")</f>
        <v>18</v>
      </c>
      <c r="H347" t="s">
        <v>80</v>
      </c>
      <c r="I347">
        <v>2020</v>
      </c>
      <c r="J347" t="s">
        <v>34</v>
      </c>
      <c r="K347" t="s">
        <v>35</v>
      </c>
      <c r="N347" t="s">
        <v>193</v>
      </c>
      <c r="O347" t="s">
        <v>37</v>
      </c>
      <c r="P347">
        <v>3</v>
      </c>
      <c r="Q347" t="s">
        <v>58</v>
      </c>
      <c r="R347" t="s">
        <v>59</v>
      </c>
      <c r="S347" t="s">
        <v>29</v>
      </c>
      <c r="T347" t="s">
        <v>41</v>
      </c>
      <c r="U347">
        <v>59</v>
      </c>
      <c r="V347">
        <v>65</v>
      </c>
      <c r="W347">
        <v>56</v>
      </c>
      <c r="X347" s="2">
        <f>AVERAGE(Query1[[#This Row],[Assignment 1 Score]],Query1[[#This Row],[Assignment 2 Score]],Query1[[#This Row],[Midterm Exam Score]])</f>
        <v>60</v>
      </c>
      <c r="Y347" t="str" cm="1">
        <f t="array" ref="Y347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C+</v>
      </c>
      <c r="Z347" s="3">
        <f>Query1[[#This Row],[Final Score]]*5/100</f>
        <v>3</v>
      </c>
      <c r="AA347" s="4">
        <v>0.85450000000000004</v>
      </c>
      <c r="AB347" s="4"/>
      <c r="AC347" s="5">
        <v>12458</v>
      </c>
      <c r="AD347" s="5">
        <v>1000</v>
      </c>
      <c r="AE347" s="5">
        <f>Query1[[#This Row],[Tuition Fee]]-Query1[[#This Row],[Scholarship Amount]]</f>
        <v>11458</v>
      </c>
      <c r="AF347" t="s">
        <v>31</v>
      </c>
    </row>
    <row r="348" spans="1:32" x14ac:dyDescent="0.35">
      <c r="A348" t="s">
        <v>749</v>
      </c>
      <c r="B348" t="s">
        <v>1089</v>
      </c>
      <c r="C348" t="s">
        <v>1433</v>
      </c>
      <c r="D348" t="str">
        <f>LEFT(Query1[[#This Row],[First Name]],1) &amp; "." &amp; Query1[[#This Row],[Last Name]] &amp; "@university.edu"</f>
        <v>A.Pregal@university.edu</v>
      </c>
      <c r="E348" t="s">
        <v>32</v>
      </c>
      <c r="F348" s="1">
        <v>39266</v>
      </c>
      <c r="G348" s="2">
        <f ca="1">DATEDIF(Query1[[#This Row],[Date of Birth]],TODAY(),"Y")</f>
        <v>18</v>
      </c>
      <c r="H348" t="s">
        <v>85</v>
      </c>
      <c r="I348">
        <v>2021</v>
      </c>
      <c r="J348" t="s">
        <v>45</v>
      </c>
      <c r="K348" t="s">
        <v>86</v>
      </c>
      <c r="N348" t="s">
        <v>195</v>
      </c>
      <c r="O348" t="s">
        <v>88</v>
      </c>
      <c r="P348">
        <v>3</v>
      </c>
      <c r="Q348" t="s">
        <v>67</v>
      </c>
      <c r="R348" t="s">
        <v>68</v>
      </c>
      <c r="S348" t="s">
        <v>40</v>
      </c>
      <c r="T348" t="s">
        <v>51</v>
      </c>
      <c r="U348">
        <v>83</v>
      </c>
      <c r="V348">
        <v>77</v>
      </c>
      <c r="W348">
        <v>86</v>
      </c>
      <c r="X348" s="2">
        <f>AVERAGE(Query1[[#This Row],[Assignment 1 Score]],Query1[[#This Row],[Assignment 2 Score]],Query1[[#This Row],[Midterm Exam Score]])</f>
        <v>82</v>
      </c>
      <c r="Y348" t="str" cm="1">
        <f t="array" ref="Y348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</v>
      </c>
      <c r="Z348" s="3">
        <f>Query1[[#This Row],[Final Score]]*5/100</f>
        <v>4.0999999999999996</v>
      </c>
      <c r="AA348" s="4">
        <v>0.90649999999999997</v>
      </c>
      <c r="AB348" s="4"/>
      <c r="AC348" s="5">
        <v>13481</v>
      </c>
      <c r="AD348" s="5">
        <v>1000</v>
      </c>
      <c r="AE348" s="5">
        <f>Query1[[#This Row],[Tuition Fee]]-Query1[[#This Row],[Scholarship Amount]]</f>
        <v>12481</v>
      </c>
      <c r="AF348" t="s">
        <v>31</v>
      </c>
    </row>
    <row r="349" spans="1:32" x14ac:dyDescent="0.35">
      <c r="A349" t="s">
        <v>750</v>
      </c>
      <c r="B349" t="s">
        <v>1090</v>
      </c>
      <c r="C349" t="s">
        <v>1434</v>
      </c>
      <c r="D349" t="str">
        <f>LEFT(Query1[[#This Row],[First Name]],1) &amp; "." &amp; Query1[[#This Row],[Last Name]] &amp; "@university.edu"</f>
        <v>C.Phettis@university.edu</v>
      </c>
      <c r="E349" t="s">
        <v>43</v>
      </c>
      <c r="F349" s="1">
        <v>39276</v>
      </c>
      <c r="G349" s="2">
        <f ca="1">DATEDIF(Query1[[#This Row],[Date of Birth]],TODAY(),"Y")</f>
        <v>18</v>
      </c>
      <c r="H349" t="s">
        <v>92</v>
      </c>
      <c r="I349">
        <v>2022</v>
      </c>
      <c r="J349" t="s">
        <v>54</v>
      </c>
      <c r="K349" t="s">
        <v>93</v>
      </c>
      <c r="N349" t="s">
        <v>197</v>
      </c>
      <c r="O349" t="s">
        <v>95</v>
      </c>
      <c r="P349">
        <v>3</v>
      </c>
      <c r="Q349" t="s">
        <v>76</v>
      </c>
      <c r="R349" t="s">
        <v>77</v>
      </c>
      <c r="S349" t="s">
        <v>29</v>
      </c>
      <c r="T349" t="s">
        <v>30</v>
      </c>
      <c r="U349">
        <v>62</v>
      </c>
      <c r="V349">
        <v>62</v>
      </c>
      <c r="W349">
        <v>65</v>
      </c>
      <c r="X349" s="2">
        <f>AVERAGE(Query1[[#This Row],[Assignment 1 Score]],Query1[[#This Row],[Assignment 2 Score]],Query1[[#This Row],[Midterm Exam Score]])</f>
        <v>63</v>
      </c>
      <c r="Y349" t="str" cm="1">
        <f t="array" ref="Y349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B-</v>
      </c>
      <c r="Z349" s="3">
        <f>Query1[[#This Row],[Final Score]]*5/100</f>
        <v>3.15</v>
      </c>
      <c r="AA349" s="4">
        <v>0.85824999999999996</v>
      </c>
      <c r="AB349" s="4"/>
      <c r="AC349" s="5">
        <v>11004</v>
      </c>
      <c r="AD349" s="5">
        <v>0</v>
      </c>
      <c r="AE349" s="5">
        <f>Query1[[#This Row],[Tuition Fee]]-Query1[[#This Row],[Scholarship Amount]]</f>
        <v>11004</v>
      </c>
      <c r="AF349" t="s">
        <v>60</v>
      </c>
    </row>
    <row r="350" spans="1:32" x14ac:dyDescent="0.35">
      <c r="A350" t="s">
        <v>751</v>
      </c>
      <c r="B350" t="s">
        <v>736</v>
      </c>
      <c r="C350" t="s">
        <v>1435</v>
      </c>
      <c r="D350" t="str">
        <f>LEFT(Query1[[#This Row],[First Name]],1) &amp; "." &amp; Query1[[#This Row],[Last Name]] &amp; "@university.edu"</f>
        <v>I.Boyett@university.edu</v>
      </c>
      <c r="E350" t="s">
        <v>32</v>
      </c>
      <c r="F350" s="1">
        <v>39286</v>
      </c>
      <c r="G350" s="2">
        <f ca="1">DATEDIF(Query1[[#This Row],[Date of Birth]],TODAY(),"Y")</f>
        <v>18</v>
      </c>
      <c r="H350" t="s">
        <v>97</v>
      </c>
      <c r="I350">
        <v>2023</v>
      </c>
      <c r="J350" t="s">
        <v>63</v>
      </c>
      <c r="K350" t="s">
        <v>64</v>
      </c>
      <c r="N350" t="s">
        <v>199</v>
      </c>
      <c r="O350" t="s">
        <v>66</v>
      </c>
      <c r="P350">
        <v>5</v>
      </c>
      <c r="Q350" t="s">
        <v>82</v>
      </c>
      <c r="R350" t="s">
        <v>83</v>
      </c>
      <c r="S350" t="s">
        <v>40</v>
      </c>
      <c r="T350" t="s">
        <v>69</v>
      </c>
      <c r="U350">
        <v>76</v>
      </c>
      <c r="V350">
        <v>82</v>
      </c>
      <c r="W350">
        <v>79</v>
      </c>
      <c r="X350" s="2">
        <f>AVERAGE(Query1[[#This Row],[Assignment 1 Score]],Query1[[#This Row],[Assignment 2 Score]],Query1[[#This Row],[Midterm Exam Score]])</f>
        <v>79</v>
      </c>
      <c r="Y350" t="str" cm="1">
        <f t="array" ref="Y350">_xlfn.IFS(
INT(Query1[[#This Row],[Final Score]])&lt;=39,"F",
INT(Query1[[#This Row],[Final Score]])&lt;=45,"E",
INT(Query1[[#This Row],[Final Score]])&lt;=49,"D",
INT(Query1[[#This Row],[Final Score]])&lt;=55,"C",
INT(Query1[[#This Row],[Final Score]])&lt;=60,"C+",
INT(Query1[[#This Row],[Final Score]])&lt;=65,"B-",
INT(Query1[[#This Row],[Final Score]])&lt;=70,"B",
INT(Query1[[#This Row],[Final Score]])&lt;=75,"B+",
INT(Query1[[#This Row],[Final Score]])&lt;=80,"A-",
INT(Query1[[#This Row],[Final Score]])&lt;=90,"A",
INT(Query1[[#This Row],[Final Score]])&gt;=91,"A+"
)</f>
        <v>A-</v>
      </c>
      <c r="Z350" s="3">
        <f>Query1[[#This Row],[Final Score]]*5/100</f>
        <v>3.95</v>
      </c>
      <c r="AA350" s="4">
        <v>0.89749999999999996</v>
      </c>
      <c r="AB350" s="4"/>
      <c r="AC350" s="5">
        <v>15027</v>
      </c>
      <c r="AD350" s="5">
        <v>1000</v>
      </c>
      <c r="AE350" s="5">
        <f>Query1[[#This Row],[Tuition Fee]]-Query1[[#This Row],[Scholarship Amount]]</f>
        <v>14027</v>
      </c>
      <c r="AF350" t="s">
        <v>31</v>
      </c>
    </row>
    <row r="351" spans="1:32" x14ac:dyDescent="0.35">
      <c r="F351" s="1"/>
      <c r="X351" s="2"/>
      <c r="AE351" s="5"/>
    </row>
    <row r="352" spans="1:32" x14ac:dyDescent="0.35">
      <c r="F352" s="1"/>
      <c r="X352" s="2"/>
      <c r="AE352" s="5"/>
    </row>
    <row r="353" spans="6:31" x14ac:dyDescent="0.35">
      <c r="F353" s="1"/>
      <c r="X353" s="2"/>
      <c r="AE353" s="5"/>
    </row>
    <row r="354" spans="6:31" x14ac:dyDescent="0.35">
      <c r="F354" s="1"/>
      <c r="X354" s="2"/>
      <c r="AE354" s="5"/>
    </row>
    <row r="355" spans="6:31" x14ac:dyDescent="0.35">
      <c r="F355" s="1"/>
      <c r="X355" s="2"/>
      <c r="AE355" s="5"/>
    </row>
    <row r="356" spans="6:31" x14ac:dyDescent="0.35">
      <c r="F356" s="1"/>
      <c r="X356" s="2"/>
      <c r="AE356" s="5"/>
    </row>
    <row r="357" spans="6:31" x14ac:dyDescent="0.35">
      <c r="F357" s="1"/>
      <c r="X357" s="2"/>
      <c r="AE357" s="5"/>
    </row>
    <row r="358" spans="6:31" x14ac:dyDescent="0.35">
      <c r="F358" s="1"/>
      <c r="X358" s="2"/>
      <c r="AE358" s="5"/>
    </row>
    <row r="359" spans="6:31" x14ac:dyDescent="0.35">
      <c r="F359" s="1"/>
      <c r="X359" s="2"/>
      <c r="AE359" s="5"/>
    </row>
    <row r="360" spans="6:31" x14ac:dyDescent="0.35">
      <c r="F360" s="1"/>
      <c r="X360" s="2"/>
      <c r="AE360" s="5"/>
    </row>
    <row r="361" spans="6:31" x14ac:dyDescent="0.35">
      <c r="F361" s="1"/>
      <c r="X361" s="2"/>
      <c r="AE361" s="5"/>
    </row>
    <row r="362" spans="6:31" x14ac:dyDescent="0.35">
      <c r="F362" s="1"/>
      <c r="X362" s="2"/>
      <c r="AE362" s="5"/>
    </row>
    <row r="363" spans="6:31" x14ac:dyDescent="0.35">
      <c r="F363" s="1"/>
      <c r="X363" s="2"/>
      <c r="AE363" s="5"/>
    </row>
    <row r="364" spans="6:31" x14ac:dyDescent="0.35">
      <c r="F364" s="1"/>
      <c r="X364" s="2"/>
      <c r="AE364" s="5"/>
    </row>
    <row r="365" spans="6:31" x14ac:dyDescent="0.35">
      <c r="F365" s="1"/>
      <c r="X365" s="2"/>
      <c r="AE365" s="5"/>
    </row>
    <row r="366" spans="6:31" x14ac:dyDescent="0.35">
      <c r="F366" s="1"/>
      <c r="X366" s="2"/>
      <c r="AE366" s="5"/>
    </row>
    <row r="367" spans="6:31" x14ac:dyDescent="0.35">
      <c r="F367" s="1"/>
      <c r="X367" s="2"/>
      <c r="AE367" s="5"/>
    </row>
    <row r="368" spans="6:31" x14ac:dyDescent="0.35">
      <c r="F368" s="1"/>
      <c r="X368" s="2"/>
      <c r="AE368" s="5"/>
    </row>
    <row r="369" spans="6:31" x14ac:dyDescent="0.35">
      <c r="F369" s="1"/>
      <c r="X369" s="2"/>
      <c r="AE369" s="5"/>
    </row>
    <row r="370" spans="6:31" x14ac:dyDescent="0.35">
      <c r="F370" s="1"/>
      <c r="X370" s="2"/>
      <c r="AE370" s="5"/>
    </row>
    <row r="371" spans="6:31" x14ac:dyDescent="0.35">
      <c r="F371" s="1"/>
      <c r="X371" s="2"/>
      <c r="AE371" s="5"/>
    </row>
    <row r="372" spans="6:31" x14ac:dyDescent="0.35">
      <c r="F372" s="1"/>
      <c r="X372" s="2"/>
      <c r="AE372" s="5"/>
    </row>
    <row r="373" spans="6:31" x14ac:dyDescent="0.35">
      <c r="F373" s="1"/>
      <c r="X373" s="2"/>
      <c r="AE373" s="5"/>
    </row>
    <row r="374" spans="6:31" x14ac:dyDescent="0.35">
      <c r="F374" s="1"/>
      <c r="X374" s="2"/>
      <c r="AE374" s="5"/>
    </row>
    <row r="375" spans="6:31" x14ac:dyDescent="0.35">
      <c r="F375" s="1"/>
      <c r="X375" s="2"/>
      <c r="AE375" s="5"/>
    </row>
    <row r="376" spans="6:31" x14ac:dyDescent="0.35">
      <c r="F376" s="1"/>
      <c r="X376" s="2"/>
      <c r="AE376" s="5"/>
    </row>
    <row r="377" spans="6:31" x14ac:dyDescent="0.35">
      <c r="F377" s="1"/>
      <c r="X377" s="2"/>
      <c r="AE377" s="5"/>
    </row>
    <row r="378" spans="6:31" x14ac:dyDescent="0.35">
      <c r="F378" s="1"/>
      <c r="X378" s="2"/>
      <c r="AE378" s="5"/>
    </row>
    <row r="379" spans="6:31" x14ac:dyDescent="0.35">
      <c r="F379" s="1"/>
      <c r="X379" s="2"/>
      <c r="AE379" s="5"/>
    </row>
    <row r="380" spans="6:31" x14ac:dyDescent="0.35">
      <c r="F380" s="1"/>
      <c r="X380" s="2"/>
      <c r="AE380" s="5"/>
    </row>
    <row r="381" spans="6:31" x14ac:dyDescent="0.35">
      <c r="F381" s="1"/>
      <c r="X381" s="2"/>
      <c r="AE381" s="5"/>
    </row>
    <row r="382" spans="6:31" x14ac:dyDescent="0.35">
      <c r="F382" s="1"/>
      <c r="X382" s="2"/>
      <c r="AE382" s="5"/>
    </row>
    <row r="383" spans="6:31" x14ac:dyDescent="0.35">
      <c r="F383" s="1"/>
      <c r="X383" s="2"/>
      <c r="AE383" s="5"/>
    </row>
    <row r="384" spans="6:31" x14ac:dyDescent="0.35">
      <c r="F384" s="1"/>
      <c r="X384" s="2"/>
      <c r="AE384" s="5"/>
    </row>
    <row r="385" spans="6:31" x14ac:dyDescent="0.35">
      <c r="F385" s="1"/>
      <c r="X385" s="2"/>
      <c r="AE385" s="5"/>
    </row>
    <row r="386" spans="6:31" x14ac:dyDescent="0.35">
      <c r="F386" s="1"/>
      <c r="X386" s="2"/>
      <c r="AE386" s="5"/>
    </row>
    <row r="387" spans="6:31" x14ac:dyDescent="0.35">
      <c r="F387" s="1"/>
      <c r="X387" s="2"/>
      <c r="AE387" s="5"/>
    </row>
    <row r="388" spans="6:31" x14ac:dyDescent="0.35">
      <c r="F388" s="1"/>
      <c r="X388" s="2"/>
      <c r="AE388" s="5"/>
    </row>
    <row r="389" spans="6:31" x14ac:dyDescent="0.35">
      <c r="F389" s="1"/>
      <c r="X389" s="2"/>
      <c r="AE389" s="5"/>
    </row>
    <row r="390" spans="6:31" x14ac:dyDescent="0.35">
      <c r="F390" s="1"/>
      <c r="X390" s="2"/>
      <c r="AE390" s="5"/>
    </row>
    <row r="391" spans="6:31" x14ac:dyDescent="0.35">
      <c r="F391" s="1"/>
      <c r="X391" s="2"/>
      <c r="AE391" s="5"/>
    </row>
    <row r="392" spans="6:31" x14ac:dyDescent="0.35">
      <c r="F392" s="1"/>
      <c r="X392" s="2"/>
      <c r="AE392" s="5"/>
    </row>
    <row r="393" spans="6:31" x14ac:dyDescent="0.35">
      <c r="F393" s="1"/>
      <c r="X393" s="2"/>
      <c r="AE393" s="5"/>
    </row>
    <row r="394" spans="6:31" x14ac:dyDescent="0.35">
      <c r="F394" s="1"/>
      <c r="X394" s="2"/>
      <c r="AE394" s="5"/>
    </row>
    <row r="395" spans="6:31" x14ac:dyDescent="0.35">
      <c r="F395" s="1"/>
      <c r="X395" s="2"/>
      <c r="AE395" s="5"/>
    </row>
    <row r="396" spans="6:31" x14ac:dyDescent="0.35">
      <c r="F396" s="1"/>
      <c r="X396" s="2"/>
      <c r="AE396" s="5"/>
    </row>
    <row r="397" spans="6:31" x14ac:dyDescent="0.35">
      <c r="F397" s="1"/>
      <c r="X397" s="2"/>
      <c r="AE397" s="5"/>
    </row>
    <row r="398" spans="6:31" x14ac:dyDescent="0.35">
      <c r="F398" s="1"/>
      <c r="X398" s="2"/>
      <c r="AE398" s="5"/>
    </row>
    <row r="399" spans="6:31" x14ac:dyDescent="0.35">
      <c r="F399" s="1"/>
      <c r="X399" s="2"/>
      <c r="AE399" s="5"/>
    </row>
    <row r="400" spans="6:31" x14ac:dyDescent="0.35">
      <c r="F400" s="1"/>
      <c r="X400" s="2"/>
      <c r="AE400" s="5"/>
    </row>
    <row r="401" spans="6:31" x14ac:dyDescent="0.35">
      <c r="F401" s="1"/>
      <c r="X401" s="2"/>
      <c r="AE401" s="5"/>
    </row>
    <row r="402" spans="6:31" x14ac:dyDescent="0.35">
      <c r="F402" s="1"/>
      <c r="X402" s="2"/>
      <c r="AE402" s="5"/>
    </row>
    <row r="403" spans="6:31" x14ac:dyDescent="0.35">
      <c r="F403" s="1"/>
      <c r="X403" s="2"/>
      <c r="AE403" s="5"/>
    </row>
    <row r="404" spans="6:31" x14ac:dyDescent="0.35">
      <c r="F404" s="1"/>
      <c r="X404" s="2"/>
      <c r="AE404" s="5"/>
    </row>
    <row r="405" spans="6:31" x14ac:dyDescent="0.35">
      <c r="F405" s="1"/>
      <c r="X405" s="2"/>
      <c r="AE405" s="5"/>
    </row>
    <row r="406" spans="6:31" x14ac:dyDescent="0.35">
      <c r="F406" s="1"/>
      <c r="X406" s="2"/>
      <c r="AE406" s="5"/>
    </row>
    <row r="407" spans="6:31" x14ac:dyDescent="0.35">
      <c r="F407" s="1"/>
      <c r="X407" s="2"/>
      <c r="AE407" s="5"/>
    </row>
    <row r="408" spans="6:31" x14ac:dyDescent="0.35">
      <c r="F408" s="1"/>
      <c r="X408" s="2"/>
      <c r="AE408" s="5"/>
    </row>
    <row r="409" spans="6:31" x14ac:dyDescent="0.35">
      <c r="F409" s="1"/>
      <c r="X409" s="2"/>
      <c r="AE409" s="5"/>
    </row>
    <row r="410" spans="6:31" x14ac:dyDescent="0.35">
      <c r="F410" s="1"/>
      <c r="X410" s="2"/>
      <c r="AE410" s="5"/>
    </row>
    <row r="411" spans="6:31" x14ac:dyDescent="0.35">
      <c r="F411" s="1"/>
      <c r="X411" s="2"/>
      <c r="AE411" s="5"/>
    </row>
    <row r="412" spans="6:31" x14ac:dyDescent="0.35">
      <c r="F412" s="1"/>
      <c r="X412" s="2"/>
      <c r="AE412" s="5"/>
    </row>
    <row r="413" spans="6:31" x14ac:dyDescent="0.35">
      <c r="F413" s="1"/>
      <c r="X413" s="2"/>
      <c r="AE413" s="5"/>
    </row>
    <row r="414" spans="6:31" x14ac:dyDescent="0.35">
      <c r="F414" s="1"/>
      <c r="X414" s="2"/>
      <c r="AE414" s="5"/>
    </row>
    <row r="415" spans="6:31" x14ac:dyDescent="0.35">
      <c r="F415" s="1"/>
      <c r="X415" s="2"/>
      <c r="AE415" s="5"/>
    </row>
    <row r="416" spans="6:31" x14ac:dyDescent="0.35">
      <c r="F416" s="1"/>
      <c r="X416" s="2"/>
      <c r="AE416" s="5"/>
    </row>
    <row r="417" spans="6:31" x14ac:dyDescent="0.35">
      <c r="F417" s="1"/>
      <c r="X417" s="2"/>
      <c r="AE417" s="5"/>
    </row>
    <row r="418" spans="6:31" x14ac:dyDescent="0.35">
      <c r="F418" s="1"/>
      <c r="X418" s="2"/>
      <c r="AE418" s="5"/>
    </row>
    <row r="419" spans="6:31" x14ac:dyDescent="0.35">
      <c r="F419" s="1"/>
      <c r="X419" s="2"/>
      <c r="AE419" s="5"/>
    </row>
    <row r="420" spans="6:31" x14ac:dyDescent="0.35">
      <c r="F420" s="1"/>
      <c r="X420" s="2"/>
      <c r="AE420" s="5"/>
    </row>
    <row r="421" spans="6:31" x14ac:dyDescent="0.35">
      <c r="F421" s="1"/>
      <c r="X421" s="2"/>
      <c r="AE421" s="5"/>
    </row>
    <row r="422" spans="6:31" x14ac:dyDescent="0.35">
      <c r="F422" s="1"/>
      <c r="X422" s="2"/>
      <c r="AE422" s="5"/>
    </row>
    <row r="423" spans="6:31" x14ac:dyDescent="0.35">
      <c r="F423" s="1"/>
      <c r="X423" s="2"/>
      <c r="AE423" s="5"/>
    </row>
    <row r="424" spans="6:31" x14ac:dyDescent="0.35">
      <c r="F424" s="1"/>
      <c r="X424" s="2"/>
      <c r="AE424" s="5"/>
    </row>
    <row r="425" spans="6:31" x14ac:dyDescent="0.35">
      <c r="F425" s="1"/>
      <c r="X425" s="2"/>
      <c r="AE425" s="5"/>
    </row>
    <row r="426" spans="6:31" x14ac:dyDescent="0.35">
      <c r="F426" s="1"/>
      <c r="X426" s="2"/>
      <c r="AE426" s="5"/>
    </row>
    <row r="427" spans="6:31" x14ac:dyDescent="0.35">
      <c r="F427" s="1"/>
      <c r="X427" s="2"/>
      <c r="AE427" s="5"/>
    </row>
    <row r="428" spans="6:31" x14ac:dyDescent="0.35">
      <c r="F428" s="1"/>
      <c r="X428" s="2"/>
      <c r="AE428" s="5"/>
    </row>
    <row r="429" spans="6:31" x14ac:dyDescent="0.35">
      <c r="F429" s="1"/>
      <c r="X429" s="2"/>
      <c r="AE429" s="5"/>
    </row>
    <row r="430" spans="6:31" x14ac:dyDescent="0.35">
      <c r="F430" s="1"/>
      <c r="X430" s="2"/>
      <c r="AE430" s="5"/>
    </row>
    <row r="431" spans="6:31" x14ac:dyDescent="0.35">
      <c r="F431" s="1"/>
      <c r="X431" s="2"/>
      <c r="AE431" s="5"/>
    </row>
    <row r="432" spans="6:31" x14ac:dyDescent="0.35">
      <c r="F432" s="1"/>
      <c r="X432" s="2"/>
      <c r="AE432" s="5"/>
    </row>
    <row r="433" spans="6:31" x14ac:dyDescent="0.35">
      <c r="F433" s="1"/>
      <c r="X433" s="2"/>
      <c r="AE433" s="5"/>
    </row>
    <row r="434" spans="6:31" x14ac:dyDescent="0.35">
      <c r="F434" s="1"/>
      <c r="X434" s="2"/>
      <c r="AE434" s="5"/>
    </row>
    <row r="435" spans="6:31" x14ac:dyDescent="0.35">
      <c r="F435" s="1"/>
      <c r="X435" s="2"/>
      <c r="AE435" s="5"/>
    </row>
    <row r="436" spans="6:31" x14ac:dyDescent="0.35">
      <c r="F436" s="1"/>
      <c r="X436" s="2"/>
      <c r="AE436" s="5"/>
    </row>
    <row r="437" spans="6:31" x14ac:dyDescent="0.35">
      <c r="F437" s="1"/>
      <c r="X437" s="2"/>
      <c r="AE437" s="5"/>
    </row>
    <row r="438" spans="6:31" x14ac:dyDescent="0.35">
      <c r="F438" s="1"/>
      <c r="X438" s="2"/>
      <c r="AE438" s="5"/>
    </row>
    <row r="439" spans="6:31" x14ac:dyDescent="0.35">
      <c r="F439" s="1"/>
      <c r="X439" s="2"/>
      <c r="AE439" s="5"/>
    </row>
    <row r="440" spans="6:31" x14ac:dyDescent="0.35">
      <c r="F440" s="1"/>
      <c r="X440" s="2"/>
      <c r="AE440" s="5"/>
    </row>
    <row r="441" spans="6:31" x14ac:dyDescent="0.35">
      <c r="F441" s="1"/>
      <c r="X441" s="2"/>
      <c r="AE441" s="5"/>
    </row>
    <row r="442" spans="6:31" x14ac:dyDescent="0.35">
      <c r="F442" s="1"/>
      <c r="X442" s="2"/>
      <c r="AE442" s="5"/>
    </row>
    <row r="443" spans="6:31" x14ac:dyDescent="0.35">
      <c r="F443" s="1"/>
      <c r="X443" s="2"/>
      <c r="AE443" s="5"/>
    </row>
    <row r="444" spans="6:31" x14ac:dyDescent="0.35">
      <c r="F444" s="1"/>
      <c r="X444" s="2"/>
      <c r="AE444" s="5"/>
    </row>
    <row r="445" spans="6:31" x14ac:dyDescent="0.35">
      <c r="F445" s="1"/>
      <c r="X445" s="2"/>
      <c r="AE445" s="5"/>
    </row>
    <row r="446" spans="6:31" x14ac:dyDescent="0.35">
      <c r="F446" s="1"/>
      <c r="X446" s="2"/>
      <c r="AE446" s="5"/>
    </row>
    <row r="447" spans="6:31" x14ac:dyDescent="0.35">
      <c r="F447" s="1"/>
      <c r="X447" s="2"/>
      <c r="AE447" s="5"/>
    </row>
    <row r="448" spans="6:31" x14ac:dyDescent="0.35">
      <c r="F448" s="1"/>
      <c r="X448" s="2"/>
      <c r="AE448" s="5"/>
    </row>
    <row r="449" spans="6:31" x14ac:dyDescent="0.35">
      <c r="F449" s="1"/>
      <c r="X449" s="2"/>
      <c r="AE449" s="5"/>
    </row>
    <row r="450" spans="6:31" x14ac:dyDescent="0.35">
      <c r="F450" s="1"/>
      <c r="X450" s="2"/>
      <c r="AE450" s="5"/>
    </row>
    <row r="451" spans="6:31" x14ac:dyDescent="0.35">
      <c r="F451" s="1"/>
      <c r="X451" s="2"/>
      <c r="AE451" s="5"/>
    </row>
    <row r="452" spans="6:31" x14ac:dyDescent="0.35">
      <c r="F452" s="1"/>
      <c r="X452" s="2"/>
      <c r="AE452" s="5"/>
    </row>
    <row r="453" spans="6:31" x14ac:dyDescent="0.35">
      <c r="F453" s="1"/>
      <c r="X453" s="2"/>
      <c r="AE453" s="5"/>
    </row>
    <row r="454" spans="6:31" x14ac:dyDescent="0.35">
      <c r="F454" s="1"/>
      <c r="X454" s="2"/>
      <c r="AE454" s="5"/>
    </row>
    <row r="455" spans="6:31" x14ac:dyDescent="0.35">
      <c r="F455" s="1"/>
      <c r="X455" s="2"/>
      <c r="AE455" s="5"/>
    </row>
    <row r="456" spans="6:31" x14ac:dyDescent="0.35">
      <c r="F456" s="1"/>
      <c r="X456" s="2"/>
      <c r="AE456" s="5"/>
    </row>
    <row r="457" spans="6:31" x14ac:dyDescent="0.35">
      <c r="F457" s="1"/>
      <c r="X457" s="2"/>
      <c r="AE457" s="5"/>
    </row>
    <row r="458" spans="6:31" x14ac:dyDescent="0.35">
      <c r="F458" s="1"/>
      <c r="X458" s="2"/>
      <c r="AE458" s="5"/>
    </row>
    <row r="459" spans="6:31" x14ac:dyDescent="0.35">
      <c r="F459" s="1"/>
      <c r="X459" s="2"/>
      <c r="AE459" s="5"/>
    </row>
    <row r="460" spans="6:31" x14ac:dyDescent="0.35">
      <c r="F460" s="1"/>
      <c r="X460" s="2"/>
      <c r="AE460" s="5"/>
    </row>
    <row r="461" spans="6:31" x14ac:dyDescent="0.35">
      <c r="F461" s="1"/>
      <c r="X461" s="2"/>
      <c r="AE461" s="5"/>
    </row>
    <row r="462" spans="6:31" x14ac:dyDescent="0.35">
      <c r="F462" s="1"/>
      <c r="X462" s="2"/>
      <c r="AE462" s="5"/>
    </row>
    <row r="463" spans="6:31" x14ac:dyDescent="0.35">
      <c r="F463" s="1"/>
      <c r="X463" s="2"/>
      <c r="AE463" s="5"/>
    </row>
    <row r="464" spans="6:31" x14ac:dyDescent="0.35">
      <c r="F464" s="1"/>
      <c r="X464" s="2"/>
      <c r="AE464" s="5"/>
    </row>
    <row r="465" spans="6:31" x14ac:dyDescent="0.35">
      <c r="F465" s="1"/>
      <c r="X465" s="2"/>
      <c r="AE465" s="5"/>
    </row>
    <row r="466" spans="6:31" x14ac:dyDescent="0.35">
      <c r="F466" s="1"/>
      <c r="X466" s="2"/>
      <c r="AE466" s="5"/>
    </row>
    <row r="467" spans="6:31" x14ac:dyDescent="0.35">
      <c r="F467" s="1"/>
      <c r="X467" s="2"/>
      <c r="AE467" s="5"/>
    </row>
    <row r="468" spans="6:31" x14ac:dyDescent="0.35">
      <c r="F468" s="1"/>
      <c r="X468" s="2"/>
      <c r="AE468" s="5"/>
    </row>
    <row r="469" spans="6:31" x14ac:dyDescent="0.35">
      <c r="F469" s="1"/>
      <c r="X469" s="2"/>
      <c r="AE469" s="5"/>
    </row>
    <row r="470" spans="6:31" x14ac:dyDescent="0.35">
      <c r="F470" s="1"/>
      <c r="X470" s="2"/>
      <c r="AE470" s="5"/>
    </row>
    <row r="471" spans="6:31" x14ac:dyDescent="0.35">
      <c r="F471" s="1"/>
      <c r="X471" s="2"/>
      <c r="AE471" s="5"/>
    </row>
    <row r="472" spans="6:31" x14ac:dyDescent="0.35">
      <c r="F472" s="1"/>
      <c r="X472" s="2"/>
      <c r="AE472" s="5"/>
    </row>
    <row r="473" spans="6:31" x14ac:dyDescent="0.35">
      <c r="F473" s="1"/>
      <c r="X473" s="2"/>
      <c r="AE473" s="5"/>
    </row>
    <row r="474" spans="6:31" x14ac:dyDescent="0.35">
      <c r="F474" s="1"/>
      <c r="X474" s="2"/>
      <c r="AE474" s="5"/>
    </row>
    <row r="475" spans="6:31" x14ac:dyDescent="0.35">
      <c r="F475" s="1"/>
      <c r="X475" s="2"/>
      <c r="AE475" s="5"/>
    </row>
    <row r="476" spans="6:31" x14ac:dyDescent="0.35">
      <c r="F476" s="1"/>
      <c r="X476" s="2"/>
      <c r="AE476" s="5"/>
    </row>
    <row r="477" spans="6:31" x14ac:dyDescent="0.35">
      <c r="F477" s="1"/>
      <c r="X477" s="2"/>
      <c r="AE477" s="5"/>
    </row>
    <row r="478" spans="6:31" x14ac:dyDescent="0.35">
      <c r="F478" s="1"/>
      <c r="X478" s="2"/>
      <c r="AE478" s="5"/>
    </row>
    <row r="479" spans="6:31" x14ac:dyDescent="0.35">
      <c r="F479" s="1"/>
      <c r="X479" s="2"/>
      <c r="AE479" s="5"/>
    </row>
    <row r="480" spans="6:31" x14ac:dyDescent="0.35">
      <c r="F480" s="1"/>
      <c r="X480" s="2"/>
      <c r="AE480" s="5"/>
    </row>
    <row r="481" spans="6:31" x14ac:dyDescent="0.35">
      <c r="F481" s="1"/>
      <c r="X481" s="2"/>
      <c r="AE481" s="5"/>
    </row>
    <row r="482" spans="6:31" x14ac:dyDescent="0.35">
      <c r="F482" s="1"/>
      <c r="X482" s="2"/>
      <c r="AE482" s="5"/>
    </row>
    <row r="483" spans="6:31" x14ac:dyDescent="0.35">
      <c r="F483" s="1"/>
      <c r="X483" s="2"/>
      <c r="AE483" s="5"/>
    </row>
    <row r="484" spans="6:31" x14ac:dyDescent="0.35">
      <c r="F484" s="1"/>
      <c r="X484" s="2"/>
      <c r="AE484" s="5"/>
    </row>
    <row r="485" spans="6:31" x14ac:dyDescent="0.35">
      <c r="F485" s="1"/>
      <c r="X485" s="2"/>
      <c r="AE485" s="5"/>
    </row>
    <row r="486" spans="6:31" x14ac:dyDescent="0.35">
      <c r="F486" s="1"/>
      <c r="X486" s="2"/>
      <c r="AE486" s="5"/>
    </row>
    <row r="487" spans="6:31" x14ac:dyDescent="0.35">
      <c r="F487" s="1"/>
      <c r="X487" s="2"/>
      <c r="AE487" s="5"/>
    </row>
    <row r="488" spans="6:31" x14ac:dyDescent="0.35">
      <c r="F488" s="1"/>
      <c r="X488" s="2"/>
      <c r="AE488" s="5"/>
    </row>
    <row r="489" spans="6:31" x14ac:dyDescent="0.35">
      <c r="F489" s="1"/>
      <c r="X489" s="2"/>
      <c r="AE489" s="5"/>
    </row>
    <row r="490" spans="6:31" x14ac:dyDescent="0.35">
      <c r="F490" s="1"/>
      <c r="X490" s="2"/>
      <c r="AE490" s="5"/>
    </row>
    <row r="491" spans="6:31" x14ac:dyDescent="0.35">
      <c r="F491" s="1"/>
      <c r="X491" s="2"/>
      <c r="AE491" s="5"/>
    </row>
    <row r="492" spans="6:31" x14ac:dyDescent="0.35">
      <c r="F492" s="1"/>
      <c r="X492" s="2"/>
      <c r="AE492" s="5"/>
    </row>
    <row r="493" spans="6:31" x14ac:dyDescent="0.35">
      <c r="F493" s="1"/>
      <c r="X493" s="2"/>
      <c r="AE493" s="5"/>
    </row>
    <row r="494" spans="6:31" x14ac:dyDescent="0.35">
      <c r="F494" s="1"/>
      <c r="X494" s="2"/>
      <c r="AE494" s="5"/>
    </row>
    <row r="495" spans="6:31" x14ac:dyDescent="0.35">
      <c r="F495" s="1"/>
      <c r="X495" s="2"/>
      <c r="AE495" s="5"/>
    </row>
    <row r="496" spans="6:31" x14ac:dyDescent="0.35">
      <c r="F496" s="1"/>
      <c r="X496" s="2"/>
      <c r="AE496" s="5"/>
    </row>
    <row r="497" spans="6:31" x14ac:dyDescent="0.35">
      <c r="F497" s="1"/>
      <c r="X497" s="2"/>
      <c r="AE497" s="5"/>
    </row>
    <row r="498" spans="6:31" x14ac:dyDescent="0.35">
      <c r="F498" s="1"/>
      <c r="X498" s="2"/>
      <c r="AE498" s="5"/>
    </row>
    <row r="499" spans="6:31" x14ac:dyDescent="0.35">
      <c r="F499" s="1"/>
      <c r="X499" s="2"/>
      <c r="AE499" s="5"/>
    </row>
    <row r="500" spans="6:31" x14ac:dyDescent="0.35">
      <c r="F500" s="1"/>
      <c r="X500" s="2"/>
      <c r="AE500" s="5"/>
    </row>
    <row r="501" spans="6:31" x14ac:dyDescent="0.35">
      <c r="F501" s="1"/>
      <c r="X501" s="2"/>
      <c r="AE501" s="5"/>
    </row>
    <row r="502" spans="6:31" x14ac:dyDescent="0.35">
      <c r="F502" s="1"/>
      <c r="X502" s="2"/>
      <c r="AE502" s="5"/>
    </row>
    <row r="503" spans="6:31" x14ac:dyDescent="0.35">
      <c r="F503" s="1"/>
      <c r="X503" s="2"/>
      <c r="AE503" s="5"/>
    </row>
    <row r="504" spans="6:31" x14ac:dyDescent="0.35">
      <c r="F504" s="1"/>
      <c r="X504" s="2"/>
      <c r="AE504" s="5"/>
    </row>
    <row r="505" spans="6:31" x14ac:dyDescent="0.35">
      <c r="F505" s="1"/>
      <c r="X505" s="2"/>
      <c r="AE505" s="5"/>
    </row>
    <row r="506" spans="6:31" x14ac:dyDescent="0.35">
      <c r="F506" s="1"/>
      <c r="X506" s="2"/>
      <c r="AE506" s="5"/>
    </row>
    <row r="507" spans="6:31" x14ac:dyDescent="0.35">
      <c r="F507" s="1"/>
      <c r="X507" s="2"/>
      <c r="AE507" s="5"/>
    </row>
    <row r="508" spans="6:31" x14ac:dyDescent="0.35">
      <c r="F508" s="1"/>
      <c r="X508" s="2"/>
      <c r="AE508" s="5"/>
    </row>
    <row r="509" spans="6:31" x14ac:dyDescent="0.35">
      <c r="F509" s="1"/>
      <c r="X509" s="2"/>
      <c r="AE509" s="5"/>
    </row>
    <row r="510" spans="6:31" x14ac:dyDescent="0.35">
      <c r="F510" s="1"/>
      <c r="X510" s="2"/>
      <c r="AE510" s="5"/>
    </row>
    <row r="511" spans="6:31" x14ac:dyDescent="0.35">
      <c r="F511" s="1"/>
      <c r="X511" s="2"/>
      <c r="AE511" s="5"/>
    </row>
    <row r="512" spans="6:31" x14ac:dyDescent="0.35">
      <c r="F512" s="1"/>
      <c r="X512" s="2"/>
      <c r="AE512" s="5"/>
    </row>
    <row r="513" spans="6:31" x14ac:dyDescent="0.35">
      <c r="F513" s="1"/>
      <c r="X513" s="2"/>
      <c r="AE513" s="5"/>
    </row>
    <row r="514" spans="6:31" x14ac:dyDescent="0.35">
      <c r="F514" s="1"/>
      <c r="X514" s="2"/>
      <c r="AE514" s="5"/>
    </row>
    <row r="515" spans="6:31" x14ac:dyDescent="0.35">
      <c r="F515" s="1"/>
      <c r="X515" s="2"/>
      <c r="AE515" s="5"/>
    </row>
    <row r="516" spans="6:31" x14ac:dyDescent="0.35">
      <c r="F516" s="1"/>
      <c r="X516" s="2"/>
      <c r="AE516" s="5"/>
    </row>
    <row r="517" spans="6:31" x14ac:dyDescent="0.35">
      <c r="F517" s="1"/>
      <c r="X517" s="2"/>
      <c r="AE517" s="5"/>
    </row>
    <row r="518" spans="6:31" x14ac:dyDescent="0.35">
      <c r="F518" s="1"/>
      <c r="X518" s="2"/>
      <c r="AE518" s="5"/>
    </row>
    <row r="519" spans="6:31" x14ac:dyDescent="0.35">
      <c r="F519" s="1"/>
      <c r="X519" s="2"/>
      <c r="AE519" s="5"/>
    </row>
    <row r="520" spans="6:31" x14ac:dyDescent="0.35">
      <c r="F520" s="1"/>
      <c r="X520" s="2"/>
      <c r="AE520" s="5"/>
    </row>
    <row r="521" spans="6:31" x14ac:dyDescent="0.35">
      <c r="F521" s="1"/>
      <c r="X521" s="2"/>
      <c r="AE521" s="5"/>
    </row>
    <row r="522" spans="6:31" x14ac:dyDescent="0.35">
      <c r="F522" s="1"/>
      <c r="X522" s="2"/>
      <c r="AE522" s="5"/>
    </row>
    <row r="523" spans="6:31" x14ac:dyDescent="0.35">
      <c r="F523" s="1"/>
      <c r="X523" s="2"/>
      <c r="AE523" s="5"/>
    </row>
    <row r="524" spans="6:31" x14ac:dyDescent="0.35">
      <c r="F524" s="1"/>
      <c r="X524" s="2"/>
      <c r="AE524" s="5"/>
    </row>
    <row r="525" spans="6:31" x14ac:dyDescent="0.35">
      <c r="F525" s="1"/>
      <c r="X525" s="2"/>
      <c r="AE525" s="5"/>
    </row>
    <row r="526" spans="6:31" x14ac:dyDescent="0.35">
      <c r="F526" s="1"/>
      <c r="X526" s="2"/>
      <c r="AE526" s="5"/>
    </row>
    <row r="527" spans="6:31" x14ac:dyDescent="0.35">
      <c r="F527" s="1"/>
      <c r="X527" s="2"/>
      <c r="AE527" s="5"/>
    </row>
    <row r="528" spans="6:31" x14ac:dyDescent="0.35">
      <c r="F528" s="1"/>
      <c r="X528" s="2"/>
      <c r="AE528" s="5"/>
    </row>
    <row r="529" spans="6:31" x14ac:dyDescent="0.35">
      <c r="F529" s="1"/>
      <c r="X529" s="2"/>
      <c r="AE529" s="5"/>
    </row>
    <row r="530" spans="6:31" x14ac:dyDescent="0.35">
      <c r="F530" s="1"/>
      <c r="X530" s="2"/>
      <c r="AE530" s="5"/>
    </row>
    <row r="531" spans="6:31" x14ac:dyDescent="0.35">
      <c r="F531" s="1"/>
      <c r="X531" s="2"/>
      <c r="AE531" s="5"/>
    </row>
    <row r="532" spans="6:31" x14ac:dyDescent="0.35">
      <c r="F532" s="1"/>
      <c r="X532" s="2"/>
      <c r="AE532" s="5"/>
    </row>
    <row r="533" spans="6:31" x14ac:dyDescent="0.35">
      <c r="F533" s="1"/>
      <c r="X533" s="2"/>
      <c r="AE533" s="5"/>
    </row>
    <row r="534" spans="6:31" x14ac:dyDescent="0.35">
      <c r="F534" s="1"/>
      <c r="X534" s="2"/>
      <c r="AE534" s="5"/>
    </row>
    <row r="535" spans="6:31" x14ac:dyDescent="0.35">
      <c r="F535" s="1"/>
      <c r="X535" s="2"/>
      <c r="AE535" s="5"/>
    </row>
    <row r="536" spans="6:31" x14ac:dyDescent="0.35">
      <c r="F536" s="1"/>
      <c r="X536" s="2"/>
      <c r="AE536" s="5"/>
    </row>
    <row r="537" spans="6:31" x14ac:dyDescent="0.35">
      <c r="F537" s="1"/>
      <c r="X537" s="2"/>
      <c r="AE537" s="5"/>
    </row>
    <row r="538" spans="6:31" x14ac:dyDescent="0.35">
      <c r="F538" s="1"/>
      <c r="X538" s="2"/>
      <c r="AE538" s="5"/>
    </row>
    <row r="539" spans="6:31" x14ac:dyDescent="0.35">
      <c r="F539" s="1"/>
      <c r="X539" s="2"/>
      <c r="AE539" s="5"/>
    </row>
    <row r="540" spans="6:31" x14ac:dyDescent="0.35">
      <c r="F540" s="1"/>
      <c r="X540" s="2"/>
      <c r="AE540" s="5"/>
    </row>
    <row r="541" spans="6:31" x14ac:dyDescent="0.35">
      <c r="F541" s="1"/>
      <c r="X541" s="2"/>
      <c r="AE541" s="5"/>
    </row>
    <row r="542" spans="6:31" x14ac:dyDescent="0.35">
      <c r="F542" s="1"/>
      <c r="X542" s="2"/>
      <c r="AE542" s="5"/>
    </row>
    <row r="543" spans="6:31" x14ac:dyDescent="0.35">
      <c r="F543" s="1"/>
      <c r="X543" s="2"/>
      <c r="AE543" s="5"/>
    </row>
    <row r="544" spans="6:31" x14ac:dyDescent="0.35">
      <c r="F544" s="1"/>
      <c r="X544" s="2"/>
      <c r="AE544" s="5"/>
    </row>
    <row r="545" spans="6:31" x14ac:dyDescent="0.35">
      <c r="F545" s="1"/>
      <c r="X545" s="2"/>
      <c r="AE545" s="5"/>
    </row>
    <row r="546" spans="6:31" x14ac:dyDescent="0.35">
      <c r="F546" s="1"/>
      <c r="X546" s="2"/>
      <c r="AE546" s="5"/>
    </row>
    <row r="547" spans="6:31" x14ac:dyDescent="0.35">
      <c r="F547" s="1"/>
      <c r="X547" s="2"/>
      <c r="AE547" s="5"/>
    </row>
    <row r="548" spans="6:31" x14ac:dyDescent="0.35">
      <c r="F548" s="1"/>
      <c r="X548" s="2"/>
      <c r="AE548" s="5"/>
    </row>
    <row r="549" spans="6:31" x14ac:dyDescent="0.35">
      <c r="F549" s="1"/>
      <c r="X549" s="2"/>
      <c r="AE549" s="5"/>
    </row>
    <row r="550" spans="6:31" x14ac:dyDescent="0.35">
      <c r="F550" s="1"/>
      <c r="X550" s="2"/>
      <c r="AE550" s="5"/>
    </row>
    <row r="551" spans="6:31" x14ac:dyDescent="0.35">
      <c r="F551" s="1"/>
      <c r="X551" s="2"/>
      <c r="AE551" s="5"/>
    </row>
    <row r="552" spans="6:31" x14ac:dyDescent="0.35">
      <c r="F552" s="1"/>
      <c r="X552" s="2"/>
      <c r="AE552" s="5"/>
    </row>
    <row r="553" spans="6:31" x14ac:dyDescent="0.35">
      <c r="F553" s="1"/>
      <c r="X553" s="2"/>
      <c r="AE553" s="5"/>
    </row>
    <row r="554" spans="6:31" x14ac:dyDescent="0.35">
      <c r="F554" s="1"/>
      <c r="X554" s="2"/>
      <c r="AE554" s="5"/>
    </row>
    <row r="555" spans="6:31" x14ac:dyDescent="0.35">
      <c r="F555" s="1"/>
      <c r="X555" s="2"/>
      <c r="AE555" s="5"/>
    </row>
    <row r="556" spans="6:31" x14ac:dyDescent="0.35">
      <c r="F556" s="1"/>
      <c r="X556" s="2"/>
      <c r="AE556" s="5"/>
    </row>
    <row r="557" spans="6:31" x14ac:dyDescent="0.35">
      <c r="F557" s="1"/>
      <c r="X557" s="2"/>
      <c r="AE557" s="5"/>
    </row>
    <row r="558" spans="6:31" x14ac:dyDescent="0.35">
      <c r="F558" s="1"/>
      <c r="X558" s="2"/>
      <c r="AE558" s="5"/>
    </row>
    <row r="559" spans="6:31" x14ac:dyDescent="0.35">
      <c r="F559" s="1"/>
      <c r="X559" s="2"/>
      <c r="AE559" s="5"/>
    </row>
    <row r="560" spans="6:31" x14ac:dyDescent="0.35">
      <c r="F560" s="1"/>
      <c r="X560" s="2"/>
      <c r="AE560" s="5"/>
    </row>
    <row r="561" spans="6:31" x14ac:dyDescent="0.35">
      <c r="F561" s="1"/>
      <c r="X561" s="2"/>
      <c r="AE561" s="5"/>
    </row>
    <row r="562" spans="6:31" x14ac:dyDescent="0.35">
      <c r="F562" s="1"/>
      <c r="X562" s="2"/>
      <c r="AE562" s="5"/>
    </row>
    <row r="563" spans="6:31" x14ac:dyDescent="0.35">
      <c r="F563" s="1"/>
      <c r="X563" s="2"/>
      <c r="AE563" s="5"/>
    </row>
    <row r="564" spans="6:31" x14ac:dyDescent="0.35">
      <c r="F564" s="1"/>
      <c r="X564" s="2"/>
      <c r="AE564" s="5"/>
    </row>
    <row r="565" spans="6:31" x14ac:dyDescent="0.35">
      <c r="F565" s="1"/>
      <c r="X565" s="2"/>
      <c r="AE565" s="5"/>
    </row>
    <row r="566" spans="6:31" x14ac:dyDescent="0.35">
      <c r="F566" s="1"/>
      <c r="X566" s="2"/>
      <c r="AE566" s="5"/>
    </row>
    <row r="567" spans="6:31" x14ac:dyDescent="0.35">
      <c r="F567" s="1"/>
      <c r="X567" s="2"/>
      <c r="AE567" s="5"/>
    </row>
    <row r="568" spans="6:31" x14ac:dyDescent="0.35">
      <c r="F568" s="1"/>
      <c r="X568" s="2"/>
      <c r="AE568" s="5"/>
    </row>
    <row r="569" spans="6:31" x14ac:dyDescent="0.35">
      <c r="F569" s="1"/>
      <c r="X569" s="2"/>
      <c r="AE569" s="5"/>
    </row>
    <row r="570" spans="6:31" x14ac:dyDescent="0.35">
      <c r="F570" s="1"/>
      <c r="X570" s="2"/>
      <c r="AE570" s="5"/>
    </row>
    <row r="571" spans="6:31" x14ac:dyDescent="0.35">
      <c r="F571" s="1"/>
      <c r="X571" s="2"/>
      <c r="AE571" s="5"/>
    </row>
    <row r="572" spans="6:31" x14ac:dyDescent="0.35">
      <c r="F572" s="1"/>
      <c r="X572" s="2"/>
      <c r="AE572" s="5"/>
    </row>
    <row r="573" spans="6:31" x14ac:dyDescent="0.35">
      <c r="F573" s="1"/>
      <c r="X573" s="2"/>
      <c r="AE573" s="5"/>
    </row>
    <row r="574" spans="6:31" x14ac:dyDescent="0.35">
      <c r="F574" s="1"/>
      <c r="X574" s="2"/>
      <c r="AE574" s="5"/>
    </row>
    <row r="575" spans="6:31" x14ac:dyDescent="0.35">
      <c r="F575" s="1"/>
      <c r="X575" s="2"/>
      <c r="AE575" s="5"/>
    </row>
    <row r="576" spans="6:31" x14ac:dyDescent="0.35">
      <c r="F576" s="1"/>
      <c r="X576" s="2"/>
      <c r="AE576" s="5"/>
    </row>
    <row r="577" spans="6:31" x14ac:dyDescent="0.35">
      <c r="F577" s="1"/>
      <c r="X577" s="2"/>
      <c r="AE577" s="5"/>
    </row>
    <row r="578" spans="6:31" x14ac:dyDescent="0.35">
      <c r="F578" s="1"/>
      <c r="X578" s="2"/>
      <c r="AE578" s="5"/>
    </row>
    <row r="579" spans="6:31" x14ac:dyDescent="0.35">
      <c r="F579" s="1"/>
      <c r="X579" s="2"/>
      <c r="AE579" s="5"/>
    </row>
    <row r="580" spans="6:31" x14ac:dyDescent="0.35">
      <c r="F580" s="1"/>
      <c r="X580" s="2"/>
      <c r="AE580" s="5"/>
    </row>
    <row r="581" spans="6:31" x14ac:dyDescent="0.35">
      <c r="F581" s="1"/>
      <c r="X581" s="2"/>
      <c r="AE581" s="5"/>
    </row>
    <row r="582" spans="6:31" x14ac:dyDescent="0.35">
      <c r="F582" s="1"/>
      <c r="X582" s="2"/>
      <c r="AE582" s="5"/>
    </row>
    <row r="583" spans="6:31" x14ac:dyDescent="0.35">
      <c r="F583" s="1"/>
      <c r="X583" s="2"/>
      <c r="AE583" s="5"/>
    </row>
    <row r="584" spans="6:31" x14ac:dyDescent="0.35">
      <c r="F584" s="1"/>
      <c r="X584" s="2"/>
      <c r="AE584" s="5"/>
    </row>
    <row r="585" spans="6:31" x14ac:dyDescent="0.35">
      <c r="F585" s="1"/>
      <c r="X585" s="2"/>
      <c r="AE585" s="5"/>
    </row>
    <row r="586" spans="6:31" x14ac:dyDescent="0.35">
      <c r="F586" s="1"/>
      <c r="X586" s="2"/>
      <c r="AE586" s="5"/>
    </row>
    <row r="587" spans="6:31" x14ac:dyDescent="0.35">
      <c r="F587" s="1"/>
      <c r="X587" s="2"/>
      <c r="AE587" s="5"/>
    </row>
    <row r="588" spans="6:31" x14ac:dyDescent="0.35">
      <c r="F588" s="1"/>
      <c r="X588" s="2"/>
      <c r="AE588" s="5"/>
    </row>
    <row r="589" spans="6:31" x14ac:dyDescent="0.35">
      <c r="F589" s="1"/>
      <c r="X589" s="2"/>
      <c r="AE589" s="5"/>
    </row>
    <row r="590" spans="6:31" x14ac:dyDescent="0.35">
      <c r="F590" s="1"/>
      <c r="X590" s="2"/>
      <c r="AE590" s="5"/>
    </row>
    <row r="591" spans="6:31" x14ac:dyDescent="0.35">
      <c r="F591" s="1"/>
      <c r="X591" s="2"/>
      <c r="AE591" s="5"/>
    </row>
    <row r="592" spans="6:31" x14ac:dyDescent="0.35">
      <c r="F592" s="1"/>
      <c r="X592" s="2"/>
      <c r="AE592" s="5"/>
    </row>
    <row r="593" spans="6:31" x14ac:dyDescent="0.35">
      <c r="F593" s="1"/>
      <c r="X593" s="2"/>
      <c r="AE593" s="5"/>
    </row>
    <row r="594" spans="6:31" x14ac:dyDescent="0.35">
      <c r="F594" s="1"/>
      <c r="X594" s="2"/>
      <c r="AE594" s="5"/>
    </row>
    <row r="595" spans="6:31" x14ac:dyDescent="0.35">
      <c r="F595" s="1"/>
      <c r="X595" s="2"/>
      <c r="AE595" s="5"/>
    </row>
    <row r="596" spans="6:31" x14ac:dyDescent="0.35">
      <c r="F596" s="1"/>
      <c r="X596" s="2"/>
      <c r="AE596" s="5"/>
    </row>
    <row r="597" spans="6:31" x14ac:dyDescent="0.35">
      <c r="F597" s="1"/>
      <c r="X597" s="2"/>
      <c r="AE597" s="5"/>
    </row>
    <row r="598" spans="6:31" x14ac:dyDescent="0.35">
      <c r="F598" s="1"/>
      <c r="X598" s="2"/>
      <c r="AE598" s="5"/>
    </row>
    <row r="599" spans="6:31" x14ac:dyDescent="0.35">
      <c r="F599" s="1"/>
      <c r="X599" s="2"/>
      <c r="AE599" s="5"/>
    </row>
    <row r="600" spans="6:31" x14ac:dyDescent="0.35">
      <c r="F600" s="1"/>
      <c r="X600" s="2"/>
      <c r="AE600" s="5"/>
    </row>
    <row r="601" spans="6:31" x14ac:dyDescent="0.35">
      <c r="F601" s="1"/>
      <c r="X601" s="2"/>
      <c r="AE601" s="5"/>
    </row>
    <row r="602" spans="6:31" x14ac:dyDescent="0.35">
      <c r="F602" s="1"/>
      <c r="X602" s="2"/>
      <c r="AE602" s="5"/>
    </row>
    <row r="603" spans="6:31" x14ac:dyDescent="0.35">
      <c r="F603" s="1"/>
      <c r="X603" s="2"/>
      <c r="AE603" s="5"/>
    </row>
    <row r="604" spans="6:31" x14ac:dyDescent="0.35">
      <c r="F604" s="1"/>
      <c r="X604" s="2"/>
      <c r="AE604" s="5"/>
    </row>
    <row r="605" spans="6:31" x14ac:dyDescent="0.35">
      <c r="F605" s="1"/>
      <c r="X605" s="2"/>
      <c r="AE605" s="5"/>
    </row>
    <row r="606" spans="6:31" x14ac:dyDescent="0.35">
      <c r="F606" s="1"/>
      <c r="X606" s="2"/>
      <c r="AE606" s="5"/>
    </row>
    <row r="607" spans="6:31" x14ac:dyDescent="0.35">
      <c r="F607" s="1"/>
      <c r="X607" s="2"/>
      <c r="AE607" s="5"/>
    </row>
    <row r="608" spans="6:31" x14ac:dyDescent="0.35">
      <c r="F608" s="1"/>
      <c r="X608" s="2"/>
      <c r="AE608" s="5"/>
    </row>
    <row r="609" spans="6:31" x14ac:dyDescent="0.35">
      <c r="F609" s="1"/>
      <c r="X609" s="2"/>
      <c r="AE609" s="5"/>
    </row>
    <row r="610" spans="6:31" x14ac:dyDescent="0.35">
      <c r="F610" s="1"/>
      <c r="X610" s="2"/>
      <c r="AE610" s="5"/>
    </row>
    <row r="611" spans="6:31" x14ac:dyDescent="0.35">
      <c r="F611" s="1"/>
      <c r="X611" s="2"/>
      <c r="AE611" s="5"/>
    </row>
    <row r="612" spans="6:31" x14ac:dyDescent="0.35">
      <c r="F612" s="1"/>
      <c r="X612" s="2"/>
      <c r="AE612" s="5"/>
    </row>
    <row r="613" spans="6:31" x14ac:dyDescent="0.35">
      <c r="F613" s="1"/>
      <c r="X613" s="2"/>
      <c r="AE613" s="5"/>
    </row>
    <row r="614" spans="6:31" x14ac:dyDescent="0.35">
      <c r="F614" s="1"/>
      <c r="X614" s="2"/>
      <c r="AE614" s="5"/>
    </row>
    <row r="615" spans="6:31" x14ac:dyDescent="0.35">
      <c r="F615" s="1"/>
      <c r="X615" s="2"/>
      <c r="AE615" s="5"/>
    </row>
    <row r="616" spans="6:31" x14ac:dyDescent="0.35">
      <c r="F616" s="1"/>
      <c r="X616" s="2"/>
      <c r="AE616" s="5"/>
    </row>
    <row r="617" spans="6:31" x14ac:dyDescent="0.35">
      <c r="F617" s="1"/>
      <c r="X617" s="2"/>
      <c r="AE617" s="5"/>
    </row>
    <row r="618" spans="6:31" x14ac:dyDescent="0.35">
      <c r="F618" s="1"/>
      <c r="X618" s="2"/>
      <c r="AE618" s="5"/>
    </row>
    <row r="619" spans="6:31" x14ac:dyDescent="0.35">
      <c r="F619" s="1"/>
      <c r="X619" s="2"/>
      <c r="AE619" s="5"/>
    </row>
    <row r="620" spans="6:31" x14ac:dyDescent="0.35">
      <c r="F620" s="1"/>
      <c r="X620" s="2"/>
      <c r="AE620" s="5"/>
    </row>
    <row r="621" spans="6:31" x14ac:dyDescent="0.35">
      <c r="F621" s="1"/>
      <c r="X621" s="2"/>
      <c r="AE621" s="5"/>
    </row>
    <row r="622" spans="6:31" x14ac:dyDescent="0.35">
      <c r="F622" s="1"/>
      <c r="X622" s="2"/>
      <c r="AE622" s="5"/>
    </row>
    <row r="623" spans="6:31" x14ac:dyDescent="0.35">
      <c r="F623" s="1"/>
      <c r="X623" s="2"/>
      <c r="AE623" s="5"/>
    </row>
    <row r="624" spans="6:31" x14ac:dyDescent="0.35">
      <c r="F624" s="1"/>
      <c r="X624" s="2"/>
      <c r="AE624" s="5"/>
    </row>
    <row r="625" spans="6:31" x14ac:dyDescent="0.35">
      <c r="F625" s="1"/>
      <c r="X625" s="2"/>
      <c r="AE625" s="5"/>
    </row>
    <row r="626" spans="6:31" x14ac:dyDescent="0.35">
      <c r="F626" s="1"/>
      <c r="X626" s="2"/>
      <c r="AE626" s="5"/>
    </row>
    <row r="627" spans="6:31" x14ac:dyDescent="0.35">
      <c r="F627" s="1"/>
      <c r="X627" s="2"/>
      <c r="AE627" s="5"/>
    </row>
    <row r="628" spans="6:31" x14ac:dyDescent="0.35">
      <c r="F628" s="1"/>
      <c r="X628" s="2"/>
      <c r="AE628" s="5"/>
    </row>
    <row r="629" spans="6:31" x14ac:dyDescent="0.35">
      <c r="F629" s="1"/>
      <c r="X629" s="2"/>
      <c r="AE629" s="5"/>
    </row>
    <row r="630" spans="6:31" x14ac:dyDescent="0.35">
      <c r="F630" s="1"/>
      <c r="X630" s="2"/>
      <c r="AE630" s="5"/>
    </row>
    <row r="631" spans="6:31" x14ac:dyDescent="0.35">
      <c r="F631" s="1"/>
      <c r="X631" s="2"/>
      <c r="AE631" s="5"/>
    </row>
    <row r="632" spans="6:31" x14ac:dyDescent="0.35">
      <c r="F632" s="1"/>
      <c r="X632" s="2"/>
      <c r="AE632" s="5"/>
    </row>
    <row r="633" spans="6:31" x14ac:dyDescent="0.35">
      <c r="F633" s="1"/>
      <c r="X633" s="2"/>
      <c r="AE633" s="5"/>
    </row>
    <row r="634" spans="6:31" x14ac:dyDescent="0.35">
      <c r="F634" s="1"/>
      <c r="X634" s="2"/>
      <c r="AE634" s="5"/>
    </row>
    <row r="635" spans="6:31" x14ac:dyDescent="0.35">
      <c r="F635" s="1"/>
      <c r="X635" s="2"/>
      <c r="AE635" s="5"/>
    </row>
    <row r="636" spans="6:31" x14ac:dyDescent="0.35">
      <c r="F636" s="1"/>
      <c r="X636" s="2"/>
      <c r="AE636" s="5"/>
    </row>
    <row r="637" spans="6:31" x14ac:dyDescent="0.35">
      <c r="F637" s="1"/>
      <c r="X637" s="2"/>
      <c r="AE637" s="5"/>
    </row>
    <row r="638" spans="6:31" x14ac:dyDescent="0.35">
      <c r="F638" s="1"/>
      <c r="X638" s="2"/>
      <c r="AE638" s="5"/>
    </row>
    <row r="639" spans="6:31" x14ac:dyDescent="0.35">
      <c r="F639" s="1"/>
      <c r="X639" s="2"/>
      <c r="AE639" s="5"/>
    </row>
    <row r="640" spans="6:31" x14ac:dyDescent="0.35">
      <c r="F640" s="1"/>
      <c r="X640" s="2"/>
      <c r="AE640" s="5"/>
    </row>
    <row r="641" spans="6:31" x14ac:dyDescent="0.35">
      <c r="F641" s="1"/>
      <c r="X641" s="2"/>
      <c r="AE641" s="5"/>
    </row>
    <row r="642" spans="6:31" x14ac:dyDescent="0.35">
      <c r="F642" s="1"/>
      <c r="X642" s="2"/>
      <c r="AE642" s="5"/>
    </row>
    <row r="643" spans="6:31" x14ac:dyDescent="0.35">
      <c r="F643" s="1"/>
      <c r="X643" s="2"/>
      <c r="AE643" s="5"/>
    </row>
    <row r="644" spans="6:31" x14ac:dyDescent="0.35">
      <c r="F644" s="1"/>
      <c r="X644" s="2"/>
      <c r="AE644" s="5"/>
    </row>
    <row r="645" spans="6:31" x14ac:dyDescent="0.35">
      <c r="F645" s="1"/>
      <c r="X645" s="2"/>
      <c r="AE645" s="5"/>
    </row>
    <row r="646" spans="6:31" x14ac:dyDescent="0.35">
      <c r="F646" s="1"/>
      <c r="X646" s="2"/>
      <c r="AE646" s="5"/>
    </row>
    <row r="647" spans="6:31" x14ac:dyDescent="0.35">
      <c r="F647" s="1"/>
      <c r="X647" s="2"/>
      <c r="AE647" s="5"/>
    </row>
    <row r="648" spans="6:31" x14ac:dyDescent="0.35">
      <c r="F648" s="1"/>
      <c r="X648" s="2"/>
      <c r="AE648" s="5"/>
    </row>
    <row r="649" spans="6:31" x14ac:dyDescent="0.35">
      <c r="F649" s="1"/>
      <c r="X649" s="2"/>
      <c r="AE649" s="5"/>
    </row>
    <row r="650" spans="6:31" x14ac:dyDescent="0.35">
      <c r="F650" s="1"/>
      <c r="X650" s="2"/>
      <c r="AE650" s="5"/>
    </row>
    <row r="651" spans="6:31" x14ac:dyDescent="0.35">
      <c r="F651" s="1"/>
      <c r="X651" s="2"/>
      <c r="AE651" s="5"/>
    </row>
    <row r="652" spans="6:31" x14ac:dyDescent="0.35">
      <c r="F652" s="1"/>
      <c r="X652" s="2"/>
      <c r="AE652" s="5"/>
    </row>
    <row r="653" spans="6:31" x14ac:dyDescent="0.35">
      <c r="F653" s="1"/>
      <c r="X653" s="2"/>
      <c r="AE653" s="5"/>
    </row>
    <row r="654" spans="6:31" x14ac:dyDescent="0.35">
      <c r="F654" s="1"/>
      <c r="X654" s="2"/>
      <c r="AE654" s="5"/>
    </row>
    <row r="655" spans="6:31" x14ac:dyDescent="0.35">
      <c r="F655" s="1"/>
      <c r="X655" s="2"/>
      <c r="AE655" s="5"/>
    </row>
    <row r="656" spans="6:31" x14ac:dyDescent="0.35">
      <c r="F656" s="1"/>
      <c r="X656" s="2"/>
      <c r="AE656" s="5"/>
    </row>
    <row r="657" spans="6:31" x14ac:dyDescent="0.35">
      <c r="F657" s="1"/>
      <c r="X657" s="2"/>
      <c r="AE657" s="5"/>
    </row>
    <row r="658" spans="6:31" x14ac:dyDescent="0.35">
      <c r="F658" s="1"/>
      <c r="X658" s="2"/>
      <c r="AE658" s="5"/>
    </row>
    <row r="659" spans="6:31" x14ac:dyDescent="0.35">
      <c r="F659" s="1"/>
      <c r="X659" s="2"/>
      <c r="AE659" s="5"/>
    </row>
    <row r="660" spans="6:31" x14ac:dyDescent="0.35">
      <c r="F660" s="1"/>
      <c r="X660" s="2"/>
      <c r="AE660" s="5"/>
    </row>
    <row r="661" spans="6:31" x14ac:dyDescent="0.35">
      <c r="F661" s="1"/>
      <c r="X661" s="2"/>
      <c r="AE661" s="5"/>
    </row>
    <row r="662" spans="6:31" x14ac:dyDescent="0.35">
      <c r="F662" s="1"/>
      <c r="X662" s="2"/>
      <c r="AE662" s="5"/>
    </row>
    <row r="663" spans="6:31" x14ac:dyDescent="0.35">
      <c r="F663" s="1"/>
      <c r="X663" s="2"/>
      <c r="AE663" s="5"/>
    </row>
    <row r="664" spans="6:31" x14ac:dyDescent="0.35">
      <c r="F664" s="1"/>
      <c r="X664" s="2"/>
      <c r="AE664" s="5"/>
    </row>
    <row r="665" spans="6:31" x14ac:dyDescent="0.35">
      <c r="F665" s="1"/>
      <c r="X665" s="2"/>
      <c r="AE665" s="5"/>
    </row>
    <row r="666" spans="6:31" x14ac:dyDescent="0.35">
      <c r="F666" s="1"/>
      <c r="X666" s="2"/>
      <c r="AE666" s="5"/>
    </row>
    <row r="667" spans="6:31" x14ac:dyDescent="0.35">
      <c r="F667" s="1"/>
      <c r="X667" s="2"/>
      <c r="AE667" s="5"/>
    </row>
    <row r="668" spans="6:31" x14ac:dyDescent="0.35">
      <c r="F668" s="1"/>
      <c r="X668" s="2"/>
      <c r="AE668" s="5"/>
    </row>
    <row r="669" spans="6:31" x14ac:dyDescent="0.35">
      <c r="F669" s="1"/>
      <c r="X669" s="2"/>
      <c r="AE669" s="5"/>
    </row>
    <row r="670" spans="6:31" x14ac:dyDescent="0.35">
      <c r="F670" s="1"/>
      <c r="X670" s="2"/>
      <c r="AE670" s="5"/>
    </row>
    <row r="671" spans="6:31" x14ac:dyDescent="0.35">
      <c r="F671" s="1"/>
      <c r="X671" s="2"/>
      <c r="AE671" s="5"/>
    </row>
    <row r="672" spans="6:31" x14ac:dyDescent="0.35">
      <c r="F672" s="1"/>
      <c r="X672" s="2"/>
      <c r="AE672" s="5"/>
    </row>
    <row r="673" spans="6:31" x14ac:dyDescent="0.35">
      <c r="F673" s="1"/>
      <c r="X673" s="2"/>
      <c r="AE673" s="5"/>
    </row>
    <row r="674" spans="6:31" x14ac:dyDescent="0.35">
      <c r="F674" s="1"/>
      <c r="X674" s="2"/>
      <c r="AE674" s="5"/>
    </row>
    <row r="675" spans="6:31" x14ac:dyDescent="0.35">
      <c r="F675" s="1"/>
      <c r="X675" s="2"/>
      <c r="AE675" s="5"/>
    </row>
    <row r="676" spans="6:31" x14ac:dyDescent="0.35">
      <c r="F676" s="1"/>
      <c r="X676" s="2"/>
      <c r="AE676" s="5"/>
    </row>
    <row r="677" spans="6:31" x14ac:dyDescent="0.35">
      <c r="F677" s="1"/>
      <c r="X677" s="2"/>
      <c r="AE677" s="5"/>
    </row>
    <row r="678" spans="6:31" x14ac:dyDescent="0.35">
      <c r="F678" s="1"/>
      <c r="X678" s="2"/>
      <c r="AE678" s="5"/>
    </row>
    <row r="679" spans="6:31" x14ac:dyDescent="0.35">
      <c r="F679" s="1"/>
      <c r="X679" s="2"/>
      <c r="AE679" s="5"/>
    </row>
    <row r="680" spans="6:31" x14ac:dyDescent="0.35">
      <c r="F680" s="1"/>
      <c r="X680" s="2"/>
      <c r="AE680" s="5"/>
    </row>
    <row r="681" spans="6:31" x14ac:dyDescent="0.35">
      <c r="F681" s="1"/>
      <c r="X681" s="2"/>
      <c r="AE681" s="5"/>
    </row>
    <row r="682" spans="6:31" x14ac:dyDescent="0.35">
      <c r="F682" s="1"/>
      <c r="X682" s="2"/>
      <c r="AE682" s="5"/>
    </row>
    <row r="683" spans="6:31" x14ac:dyDescent="0.35">
      <c r="F683" s="1"/>
      <c r="X683" s="2"/>
      <c r="AE683" s="5"/>
    </row>
    <row r="684" spans="6:31" x14ac:dyDescent="0.35">
      <c r="F684" s="1"/>
      <c r="X684" s="2"/>
      <c r="AE684" s="5"/>
    </row>
    <row r="685" spans="6:31" x14ac:dyDescent="0.35">
      <c r="F685" s="1"/>
      <c r="X685" s="2"/>
      <c r="AE685" s="5"/>
    </row>
    <row r="686" spans="6:31" x14ac:dyDescent="0.35">
      <c r="F686" s="1"/>
      <c r="X686" s="2"/>
      <c r="AE686" s="5"/>
    </row>
    <row r="687" spans="6:31" x14ac:dyDescent="0.35">
      <c r="F687" s="1"/>
      <c r="X687" s="2"/>
      <c r="AE687" s="5"/>
    </row>
    <row r="688" spans="6:31" x14ac:dyDescent="0.35">
      <c r="F688" s="1"/>
      <c r="X688" s="2"/>
      <c r="AE688" s="5"/>
    </row>
    <row r="689" spans="6:31" x14ac:dyDescent="0.35">
      <c r="F689" s="1"/>
      <c r="X689" s="2"/>
      <c r="AE689" s="5"/>
    </row>
    <row r="690" spans="6:31" x14ac:dyDescent="0.35">
      <c r="F690" s="1"/>
      <c r="X690" s="2"/>
      <c r="AE690" s="5"/>
    </row>
    <row r="691" spans="6:31" x14ac:dyDescent="0.35">
      <c r="F691" s="1"/>
      <c r="X691" s="2"/>
      <c r="AE691" s="5"/>
    </row>
    <row r="692" spans="6:31" x14ac:dyDescent="0.35">
      <c r="F692" s="1"/>
      <c r="X692" s="2"/>
      <c r="AE692" s="5"/>
    </row>
    <row r="693" spans="6:31" x14ac:dyDescent="0.35">
      <c r="F693" s="1"/>
      <c r="X693" s="2"/>
      <c r="AE693" s="5"/>
    </row>
    <row r="694" spans="6:31" x14ac:dyDescent="0.35">
      <c r="F694" s="1"/>
      <c r="X694" s="2"/>
      <c r="AE694" s="5"/>
    </row>
    <row r="695" spans="6:31" x14ac:dyDescent="0.35">
      <c r="F695" s="1"/>
      <c r="X695" s="2"/>
      <c r="AE695" s="5"/>
    </row>
    <row r="696" spans="6:31" x14ac:dyDescent="0.35">
      <c r="F696" s="1"/>
      <c r="X696" s="2"/>
      <c r="AE696" s="5"/>
    </row>
    <row r="697" spans="6:31" x14ac:dyDescent="0.35">
      <c r="F697" s="1"/>
      <c r="X697" s="2"/>
      <c r="AE697" s="5"/>
    </row>
    <row r="698" spans="6:31" x14ac:dyDescent="0.35">
      <c r="F698" s="1"/>
      <c r="X698" s="2"/>
      <c r="AE698" s="5"/>
    </row>
    <row r="699" spans="6:31" x14ac:dyDescent="0.35">
      <c r="F699" s="1"/>
      <c r="X699" s="2"/>
      <c r="AE699" s="5"/>
    </row>
    <row r="700" spans="6:31" x14ac:dyDescent="0.35">
      <c r="F700" s="1"/>
      <c r="X700" s="2"/>
      <c r="AE700" s="5"/>
    </row>
    <row r="701" spans="6:31" x14ac:dyDescent="0.35">
      <c r="F701" s="1"/>
      <c r="X701" s="2"/>
      <c r="AE701" s="5"/>
    </row>
    <row r="702" spans="6:31" x14ac:dyDescent="0.35">
      <c r="F702" s="1"/>
      <c r="X702" s="2"/>
      <c r="AE702" s="5"/>
    </row>
    <row r="703" spans="6:31" x14ac:dyDescent="0.35">
      <c r="F703" s="1"/>
      <c r="X703" s="2"/>
      <c r="AE703" s="5"/>
    </row>
    <row r="704" spans="6:31" x14ac:dyDescent="0.35">
      <c r="F704" s="1"/>
      <c r="X704" s="2"/>
      <c r="AE704" s="5"/>
    </row>
    <row r="705" spans="6:31" x14ac:dyDescent="0.35">
      <c r="F705" s="1"/>
      <c r="X705" s="2"/>
      <c r="AE705" s="5"/>
    </row>
    <row r="706" spans="6:31" x14ac:dyDescent="0.35">
      <c r="F706" s="1"/>
      <c r="X706" s="2"/>
      <c r="AE706" s="5"/>
    </row>
    <row r="707" spans="6:31" x14ac:dyDescent="0.35">
      <c r="F707" s="1"/>
      <c r="X707" s="2"/>
      <c r="AE707" s="5"/>
    </row>
    <row r="708" spans="6:31" x14ac:dyDescent="0.35">
      <c r="F708" s="1"/>
      <c r="X708" s="2"/>
      <c r="AE708" s="5"/>
    </row>
    <row r="709" spans="6:31" x14ac:dyDescent="0.35">
      <c r="F709" s="1"/>
      <c r="X709" s="2"/>
      <c r="AE709" s="5"/>
    </row>
    <row r="710" spans="6:31" x14ac:dyDescent="0.35">
      <c r="F710" s="1"/>
      <c r="X710" s="2"/>
      <c r="AE710" s="5"/>
    </row>
    <row r="711" spans="6:31" x14ac:dyDescent="0.35">
      <c r="F711" s="1"/>
      <c r="X711" s="2"/>
      <c r="AE711" s="5"/>
    </row>
    <row r="712" spans="6:31" x14ac:dyDescent="0.35">
      <c r="F712" s="1"/>
      <c r="X712" s="2"/>
      <c r="AE712" s="5"/>
    </row>
    <row r="713" spans="6:31" x14ac:dyDescent="0.35">
      <c r="F713" s="1"/>
      <c r="X713" s="2"/>
      <c r="AE713" s="5"/>
    </row>
    <row r="714" spans="6:31" x14ac:dyDescent="0.35">
      <c r="F714" s="1"/>
      <c r="X714" s="2"/>
      <c r="AE714" s="5"/>
    </row>
    <row r="715" spans="6:31" x14ac:dyDescent="0.35">
      <c r="F715" s="1"/>
      <c r="X715" s="2"/>
      <c r="AE715" s="5"/>
    </row>
    <row r="716" spans="6:31" x14ac:dyDescent="0.35">
      <c r="F716" s="1"/>
      <c r="X716" s="2"/>
      <c r="AE716" s="5"/>
    </row>
    <row r="717" spans="6:31" x14ac:dyDescent="0.35">
      <c r="F717" s="1"/>
      <c r="X717" s="2"/>
      <c r="AE717" s="5"/>
    </row>
    <row r="718" spans="6:31" x14ac:dyDescent="0.35">
      <c r="F718" s="1"/>
      <c r="X718" s="2"/>
      <c r="AE718" s="5"/>
    </row>
    <row r="719" spans="6:31" x14ac:dyDescent="0.35">
      <c r="F719" s="1"/>
      <c r="X719" s="2"/>
      <c r="AE719" s="5"/>
    </row>
    <row r="720" spans="6:31" x14ac:dyDescent="0.35">
      <c r="F720" s="1"/>
      <c r="X720" s="2"/>
      <c r="AE720" s="5"/>
    </row>
    <row r="721" spans="6:31" x14ac:dyDescent="0.35">
      <c r="F721" s="1"/>
      <c r="X721" s="2"/>
      <c r="AE721" s="5"/>
    </row>
    <row r="722" spans="6:31" x14ac:dyDescent="0.35">
      <c r="F722" s="1"/>
      <c r="X722" s="2"/>
      <c r="AE722" s="5"/>
    </row>
    <row r="723" spans="6:31" x14ac:dyDescent="0.35">
      <c r="F723" s="1"/>
      <c r="X723" s="2"/>
      <c r="AE723" s="5"/>
    </row>
    <row r="724" spans="6:31" x14ac:dyDescent="0.35">
      <c r="F724" s="1"/>
      <c r="X724" s="2"/>
      <c r="AE724" s="5"/>
    </row>
    <row r="725" spans="6:31" x14ac:dyDescent="0.35">
      <c r="F725" s="1"/>
      <c r="X725" s="2"/>
      <c r="AE725" s="5"/>
    </row>
    <row r="726" spans="6:31" x14ac:dyDescent="0.35">
      <c r="F726" s="1"/>
      <c r="X726" s="2"/>
      <c r="AE726" s="5"/>
    </row>
    <row r="727" spans="6:31" x14ac:dyDescent="0.35">
      <c r="F727" s="1"/>
      <c r="X727" s="2"/>
      <c r="AE727" s="5"/>
    </row>
    <row r="728" spans="6:31" x14ac:dyDescent="0.35">
      <c r="F728" s="1"/>
      <c r="X728" s="2"/>
      <c r="AE728" s="5"/>
    </row>
    <row r="729" spans="6:31" x14ac:dyDescent="0.35">
      <c r="F729" s="1"/>
      <c r="X729" s="2"/>
      <c r="AE729" s="5"/>
    </row>
    <row r="730" spans="6:31" x14ac:dyDescent="0.35">
      <c r="F730" s="1"/>
      <c r="X730" s="2"/>
      <c r="AE730" s="5"/>
    </row>
    <row r="731" spans="6:31" x14ac:dyDescent="0.35">
      <c r="F731" s="1"/>
      <c r="X731" s="2"/>
      <c r="AE731" s="5"/>
    </row>
    <row r="732" spans="6:31" x14ac:dyDescent="0.35">
      <c r="F732" s="1"/>
      <c r="X732" s="2"/>
      <c r="AE732" s="5"/>
    </row>
    <row r="733" spans="6:31" x14ac:dyDescent="0.35">
      <c r="F733" s="1"/>
      <c r="X733" s="2"/>
      <c r="AE733" s="5"/>
    </row>
    <row r="734" spans="6:31" x14ac:dyDescent="0.35">
      <c r="F734" s="1"/>
      <c r="X734" s="2"/>
      <c r="AE734" s="5"/>
    </row>
    <row r="735" spans="6:31" x14ac:dyDescent="0.35">
      <c r="F735" s="1"/>
      <c r="X735" s="2"/>
      <c r="AE735" s="5"/>
    </row>
    <row r="736" spans="6:31" x14ac:dyDescent="0.35">
      <c r="F736" s="1"/>
      <c r="X736" s="2"/>
      <c r="AE736" s="5"/>
    </row>
    <row r="737" spans="6:31" x14ac:dyDescent="0.35">
      <c r="F737" s="1"/>
      <c r="X737" s="2"/>
      <c r="AE737" s="5"/>
    </row>
    <row r="738" spans="6:31" x14ac:dyDescent="0.35">
      <c r="F738" s="1"/>
      <c r="X738" s="2"/>
      <c r="AE738" s="5"/>
    </row>
    <row r="739" spans="6:31" x14ac:dyDescent="0.35">
      <c r="F739" s="1"/>
      <c r="X739" s="2"/>
      <c r="AE739" s="5"/>
    </row>
    <row r="740" spans="6:31" x14ac:dyDescent="0.35">
      <c r="F740" s="1"/>
      <c r="X740" s="2"/>
      <c r="AE740" s="5"/>
    </row>
    <row r="741" spans="6:31" x14ac:dyDescent="0.35">
      <c r="F741" s="1"/>
      <c r="X741" s="2"/>
      <c r="AE741" s="5"/>
    </row>
    <row r="742" spans="6:31" x14ac:dyDescent="0.35">
      <c r="F742" s="1"/>
      <c r="X742" s="2"/>
      <c r="AE742" s="5"/>
    </row>
    <row r="743" spans="6:31" x14ac:dyDescent="0.35">
      <c r="F743" s="1"/>
      <c r="X743" s="2"/>
      <c r="AE743" s="5"/>
    </row>
    <row r="744" spans="6:31" x14ac:dyDescent="0.35">
      <c r="F744" s="1"/>
      <c r="X744" s="2"/>
      <c r="AE744" s="5"/>
    </row>
    <row r="745" spans="6:31" x14ac:dyDescent="0.35">
      <c r="F745" s="1"/>
      <c r="X745" s="2"/>
      <c r="AE745" s="5"/>
    </row>
    <row r="746" spans="6:31" x14ac:dyDescent="0.35">
      <c r="F746" s="1"/>
      <c r="X746" s="2"/>
      <c r="AE746" s="5"/>
    </row>
    <row r="747" spans="6:31" x14ac:dyDescent="0.35">
      <c r="F747" s="1"/>
      <c r="X747" s="2"/>
      <c r="AE747" s="5"/>
    </row>
    <row r="748" spans="6:31" x14ac:dyDescent="0.35">
      <c r="F748" s="1"/>
      <c r="X748" s="2"/>
      <c r="AE748" s="5"/>
    </row>
    <row r="749" spans="6:31" x14ac:dyDescent="0.35">
      <c r="F749" s="1"/>
      <c r="X749" s="2"/>
      <c r="AE749" s="5"/>
    </row>
    <row r="750" spans="6:31" x14ac:dyDescent="0.35">
      <c r="F750" s="1"/>
      <c r="X750" s="2"/>
      <c r="AE750" s="5"/>
    </row>
    <row r="751" spans="6:31" x14ac:dyDescent="0.35">
      <c r="F751" s="1"/>
      <c r="X751" s="2"/>
      <c r="AE751" s="5"/>
    </row>
    <row r="752" spans="6:31" x14ac:dyDescent="0.35">
      <c r="F752" s="1"/>
      <c r="X752" s="2"/>
      <c r="AE752" s="5"/>
    </row>
    <row r="753" spans="6:31" x14ac:dyDescent="0.35">
      <c r="F753" s="1"/>
      <c r="X753" s="2"/>
      <c r="AE753" s="5"/>
    </row>
    <row r="754" spans="6:31" x14ac:dyDescent="0.35">
      <c r="F754" s="1"/>
      <c r="X754" s="2"/>
      <c r="AE754" s="5"/>
    </row>
    <row r="755" spans="6:31" x14ac:dyDescent="0.35">
      <c r="F755" s="1"/>
      <c r="X755" s="2"/>
      <c r="AE755" s="5"/>
    </row>
    <row r="756" spans="6:31" x14ac:dyDescent="0.35">
      <c r="F756" s="1"/>
      <c r="X756" s="2"/>
      <c r="AE756" s="5"/>
    </row>
    <row r="757" spans="6:31" x14ac:dyDescent="0.35">
      <c r="F757" s="1"/>
      <c r="X757" s="2"/>
      <c r="AE757" s="5"/>
    </row>
    <row r="758" spans="6:31" x14ac:dyDescent="0.35">
      <c r="F758" s="1"/>
      <c r="X758" s="2"/>
      <c r="AE758" s="5"/>
    </row>
    <row r="759" spans="6:31" x14ac:dyDescent="0.35">
      <c r="F759" s="1"/>
      <c r="X759" s="2"/>
      <c r="AE759" s="5"/>
    </row>
    <row r="760" spans="6:31" x14ac:dyDescent="0.35">
      <c r="F760" s="1"/>
      <c r="X760" s="2"/>
      <c r="AE760" s="5"/>
    </row>
    <row r="761" spans="6:31" x14ac:dyDescent="0.35">
      <c r="F761" s="1"/>
      <c r="X761" s="2"/>
      <c r="AE761" s="5"/>
    </row>
    <row r="762" spans="6:31" x14ac:dyDescent="0.35">
      <c r="F762" s="1"/>
      <c r="X762" s="2"/>
      <c r="AE762" s="5"/>
    </row>
    <row r="763" spans="6:31" x14ac:dyDescent="0.35">
      <c r="F763" s="1"/>
      <c r="X763" s="2"/>
      <c r="AE763" s="5"/>
    </row>
    <row r="764" spans="6:31" x14ac:dyDescent="0.35">
      <c r="F764" s="1"/>
      <c r="X764" s="2"/>
      <c r="AE764" s="5"/>
    </row>
    <row r="765" spans="6:31" x14ac:dyDescent="0.35">
      <c r="F765" s="1"/>
      <c r="X765" s="2"/>
      <c r="AE765" s="5"/>
    </row>
    <row r="766" spans="6:31" x14ac:dyDescent="0.35">
      <c r="F766" s="1"/>
      <c r="X766" s="2"/>
      <c r="AE766" s="5"/>
    </row>
    <row r="767" spans="6:31" x14ac:dyDescent="0.35">
      <c r="F767" s="1"/>
      <c r="X767" s="2"/>
      <c r="AE767" s="5"/>
    </row>
    <row r="768" spans="6:31" x14ac:dyDescent="0.35">
      <c r="F768" s="1"/>
      <c r="X768" s="2"/>
      <c r="AE768" s="5"/>
    </row>
    <row r="769" spans="6:31" x14ac:dyDescent="0.35">
      <c r="F769" s="1"/>
      <c r="X769" s="2"/>
      <c r="AE769" s="5"/>
    </row>
    <row r="770" spans="6:31" x14ac:dyDescent="0.35">
      <c r="F770" s="1"/>
      <c r="X770" s="2"/>
      <c r="AE770" s="5"/>
    </row>
    <row r="771" spans="6:31" x14ac:dyDescent="0.35">
      <c r="F771" s="1"/>
      <c r="X771" s="2"/>
      <c r="AE771" s="5"/>
    </row>
    <row r="772" spans="6:31" x14ac:dyDescent="0.35">
      <c r="F772" s="1"/>
      <c r="X772" s="2"/>
      <c r="AE772" s="5"/>
    </row>
    <row r="773" spans="6:31" x14ac:dyDescent="0.35">
      <c r="F773" s="1"/>
      <c r="X773" s="2"/>
      <c r="AE773" s="5"/>
    </row>
    <row r="774" spans="6:31" x14ac:dyDescent="0.35">
      <c r="F774" s="1"/>
      <c r="X774" s="2"/>
      <c r="AE774" s="5"/>
    </row>
    <row r="775" spans="6:31" x14ac:dyDescent="0.35">
      <c r="F775" s="1"/>
      <c r="X775" s="2"/>
      <c r="AE775" s="5"/>
    </row>
    <row r="776" spans="6:31" x14ac:dyDescent="0.35">
      <c r="F776" s="1"/>
      <c r="X776" s="2"/>
      <c r="AE776" s="5"/>
    </row>
    <row r="777" spans="6:31" x14ac:dyDescent="0.35">
      <c r="F777" s="1"/>
      <c r="X777" s="2"/>
      <c r="AE777" s="5"/>
    </row>
    <row r="778" spans="6:31" x14ac:dyDescent="0.35">
      <c r="F778" s="1"/>
      <c r="X778" s="2"/>
      <c r="AE778" s="5"/>
    </row>
    <row r="779" spans="6:31" x14ac:dyDescent="0.35">
      <c r="F779" s="1"/>
      <c r="X779" s="2"/>
      <c r="AE779" s="5"/>
    </row>
    <row r="780" spans="6:31" x14ac:dyDescent="0.35">
      <c r="F780" s="1"/>
      <c r="X780" s="2"/>
      <c r="AE780" s="5"/>
    </row>
    <row r="781" spans="6:31" x14ac:dyDescent="0.35">
      <c r="F781" s="1"/>
      <c r="X781" s="2"/>
      <c r="AE781" s="5"/>
    </row>
    <row r="782" spans="6:31" x14ac:dyDescent="0.35">
      <c r="F782" s="1"/>
      <c r="X782" s="2"/>
      <c r="AE782" s="5"/>
    </row>
    <row r="783" spans="6:31" x14ac:dyDescent="0.35">
      <c r="F783" s="1"/>
      <c r="X783" s="2"/>
      <c r="AE783" s="5"/>
    </row>
    <row r="784" spans="6:31" x14ac:dyDescent="0.35">
      <c r="F784" s="1"/>
      <c r="X784" s="2"/>
      <c r="AE784" s="5"/>
    </row>
    <row r="785" spans="6:31" x14ac:dyDescent="0.35">
      <c r="F785" s="1"/>
      <c r="X785" s="2"/>
      <c r="AE785" s="5"/>
    </row>
    <row r="786" spans="6:31" x14ac:dyDescent="0.35">
      <c r="F786" s="1"/>
      <c r="X786" s="2"/>
      <c r="AE786" s="5"/>
    </row>
    <row r="787" spans="6:31" x14ac:dyDescent="0.35">
      <c r="F787" s="1"/>
      <c r="X787" s="2"/>
      <c r="AE787" s="5"/>
    </row>
    <row r="788" spans="6:31" x14ac:dyDescent="0.35">
      <c r="F788" s="1"/>
      <c r="X788" s="2"/>
      <c r="AE788" s="5"/>
    </row>
    <row r="789" spans="6:31" x14ac:dyDescent="0.35">
      <c r="F789" s="1"/>
      <c r="X789" s="2"/>
      <c r="AE789" s="5"/>
    </row>
    <row r="790" spans="6:31" x14ac:dyDescent="0.35">
      <c r="F790" s="1"/>
      <c r="X790" s="2"/>
      <c r="AE790" s="5"/>
    </row>
    <row r="791" spans="6:31" x14ac:dyDescent="0.35">
      <c r="F791" s="1"/>
      <c r="X791" s="2"/>
      <c r="AE791" s="5"/>
    </row>
    <row r="792" spans="6:31" x14ac:dyDescent="0.35">
      <c r="F792" s="1"/>
      <c r="X792" s="2"/>
      <c r="AE792" s="5"/>
    </row>
    <row r="793" spans="6:31" x14ac:dyDescent="0.35">
      <c r="F793" s="1"/>
      <c r="X793" s="2"/>
      <c r="AE793" s="5"/>
    </row>
    <row r="794" spans="6:31" x14ac:dyDescent="0.35">
      <c r="F794" s="1"/>
      <c r="X794" s="2"/>
      <c r="AE794" s="5"/>
    </row>
    <row r="795" spans="6:31" x14ac:dyDescent="0.35">
      <c r="F795" s="1"/>
      <c r="X795" s="2"/>
      <c r="AE795" s="5"/>
    </row>
    <row r="796" spans="6:31" x14ac:dyDescent="0.35">
      <c r="F796" s="1"/>
      <c r="X796" s="2"/>
      <c r="AE796" s="5"/>
    </row>
    <row r="797" spans="6:31" x14ac:dyDescent="0.35">
      <c r="F797" s="1"/>
      <c r="X797" s="2"/>
      <c r="AE797" s="5"/>
    </row>
    <row r="798" spans="6:31" x14ac:dyDescent="0.35">
      <c r="F798" s="1"/>
      <c r="X798" s="2"/>
      <c r="AE798" s="5"/>
    </row>
    <row r="799" spans="6:31" x14ac:dyDescent="0.35">
      <c r="F799" s="1"/>
      <c r="X799" s="2"/>
      <c r="AE799" s="5"/>
    </row>
    <row r="800" spans="6:31" x14ac:dyDescent="0.35">
      <c r="F800" s="1"/>
      <c r="X800" s="2"/>
      <c r="AE800" s="5"/>
    </row>
    <row r="801" spans="6:31" x14ac:dyDescent="0.35">
      <c r="F801" s="1"/>
      <c r="X801" s="2"/>
      <c r="AE801" s="5"/>
    </row>
    <row r="802" spans="6:31" x14ac:dyDescent="0.35">
      <c r="F802" s="1"/>
      <c r="X802" s="2"/>
      <c r="AE802" s="5"/>
    </row>
    <row r="803" spans="6:31" x14ac:dyDescent="0.35">
      <c r="F803" s="1"/>
      <c r="X803" s="2"/>
      <c r="AE803" s="5"/>
    </row>
    <row r="804" spans="6:31" x14ac:dyDescent="0.35">
      <c r="F804" s="1"/>
      <c r="X804" s="2"/>
      <c r="AE804" s="5"/>
    </row>
    <row r="805" spans="6:31" x14ac:dyDescent="0.35">
      <c r="F805" s="1"/>
      <c r="X805" s="2"/>
      <c r="AE805" s="5"/>
    </row>
    <row r="806" spans="6:31" x14ac:dyDescent="0.35">
      <c r="F806" s="1"/>
      <c r="X806" s="2"/>
      <c r="AE806" s="5"/>
    </row>
    <row r="807" spans="6:31" x14ac:dyDescent="0.35">
      <c r="F807" s="1"/>
      <c r="X807" s="2"/>
      <c r="AE807" s="5"/>
    </row>
    <row r="808" spans="6:31" x14ac:dyDescent="0.35">
      <c r="F808" s="1"/>
      <c r="X808" s="2"/>
      <c r="AE808" s="5"/>
    </row>
    <row r="809" spans="6:31" x14ac:dyDescent="0.35">
      <c r="F809" s="1"/>
      <c r="X809" s="2"/>
      <c r="AE809" s="5"/>
    </row>
    <row r="810" spans="6:31" x14ac:dyDescent="0.35">
      <c r="F810" s="1"/>
      <c r="X810" s="2"/>
      <c r="AE810" s="5"/>
    </row>
    <row r="811" spans="6:31" x14ac:dyDescent="0.35">
      <c r="F811" s="1"/>
      <c r="X811" s="2"/>
      <c r="AE811" s="5"/>
    </row>
    <row r="812" spans="6:31" x14ac:dyDescent="0.35">
      <c r="F812" s="1"/>
      <c r="X812" s="2"/>
      <c r="AE812" s="5"/>
    </row>
    <row r="813" spans="6:31" x14ac:dyDescent="0.35">
      <c r="F813" s="1"/>
      <c r="X813" s="2"/>
      <c r="AE813" s="5"/>
    </row>
    <row r="814" spans="6:31" x14ac:dyDescent="0.35">
      <c r="F814" s="1"/>
      <c r="X814" s="2"/>
      <c r="AE814" s="5"/>
    </row>
    <row r="815" spans="6:31" x14ac:dyDescent="0.35">
      <c r="F815" s="1"/>
      <c r="X815" s="2"/>
      <c r="AE815" s="5"/>
    </row>
    <row r="816" spans="6:31" x14ac:dyDescent="0.35">
      <c r="F816" s="1"/>
      <c r="X816" s="2"/>
      <c r="AE816" s="5"/>
    </row>
    <row r="817" spans="6:31" x14ac:dyDescent="0.35">
      <c r="F817" s="1"/>
      <c r="X817" s="2"/>
      <c r="AE817" s="5"/>
    </row>
    <row r="818" spans="6:31" x14ac:dyDescent="0.35">
      <c r="F818" s="1"/>
      <c r="X818" s="2"/>
      <c r="AE818" s="5"/>
    </row>
    <row r="819" spans="6:31" x14ac:dyDescent="0.35">
      <c r="F819" s="1"/>
      <c r="X819" s="2"/>
      <c r="AE819" s="5"/>
    </row>
    <row r="820" spans="6:31" x14ac:dyDescent="0.35">
      <c r="F820" s="1"/>
      <c r="X820" s="2"/>
      <c r="AE820" s="5"/>
    </row>
    <row r="821" spans="6:31" x14ac:dyDescent="0.35">
      <c r="F821" s="1"/>
      <c r="X821" s="2"/>
      <c r="AE821" s="5"/>
    </row>
    <row r="822" spans="6:31" x14ac:dyDescent="0.35">
      <c r="F822" s="1"/>
      <c r="X822" s="2"/>
      <c r="AE822" s="5"/>
    </row>
    <row r="823" spans="6:31" x14ac:dyDescent="0.35">
      <c r="F823" s="1"/>
      <c r="X823" s="2"/>
      <c r="AE823" s="5"/>
    </row>
    <row r="824" spans="6:31" x14ac:dyDescent="0.35">
      <c r="F824" s="1"/>
      <c r="X824" s="2"/>
      <c r="AE824" s="5"/>
    </row>
    <row r="825" spans="6:31" x14ac:dyDescent="0.35">
      <c r="F825" s="1"/>
      <c r="X825" s="2"/>
      <c r="AE825" s="5"/>
    </row>
    <row r="826" spans="6:31" x14ac:dyDescent="0.35">
      <c r="F826" s="1"/>
      <c r="X826" s="2"/>
      <c r="AE826" s="5"/>
    </row>
    <row r="827" spans="6:31" x14ac:dyDescent="0.35">
      <c r="F827" s="1"/>
      <c r="X827" s="2"/>
      <c r="AE827" s="5"/>
    </row>
    <row r="828" spans="6:31" x14ac:dyDescent="0.35">
      <c r="F828" s="1"/>
      <c r="X828" s="2"/>
      <c r="AE828" s="5"/>
    </row>
    <row r="829" spans="6:31" x14ac:dyDescent="0.35">
      <c r="F829" s="1"/>
      <c r="X829" s="2"/>
      <c r="AE829" s="5"/>
    </row>
    <row r="830" spans="6:31" x14ac:dyDescent="0.35">
      <c r="F830" s="1"/>
      <c r="X830" s="2"/>
      <c r="AE830" s="5"/>
    </row>
    <row r="831" spans="6:31" x14ac:dyDescent="0.35">
      <c r="F831" s="1"/>
      <c r="X831" s="2"/>
      <c r="AE831" s="5"/>
    </row>
    <row r="832" spans="6:31" x14ac:dyDescent="0.35">
      <c r="F832" s="1"/>
      <c r="X832" s="2"/>
      <c r="AE832" s="5"/>
    </row>
    <row r="833" spans="6:31" x14ac:dyDescent="0.35">
      <c r="F833" s="1"/>
      <c r="X833" s="2"/>
      <c r="AE833" s="5"/>
    </row>
    <row r="834" spans="6:31" x14ac:dyDescent="0.35">
      <c r="F834" s="1"/>
      <c r="X834" s="2"/>
      <c r="AE834" s="5"/>
    </row>
    <row r="835" spans="6:31" x14ac:dyDescent="0.35">
      <c r="F835" s="1"/>
      <c r="X835" s="2"/>
      <c r="AE835" s="5"/>
    </row>
    <row r="836" spans="6:31" x14ac:dyDescent="0.35">
      <c r="F836" s="1"/>
      <c r="X836" s="2"/>
      <c r="AE836" s="5"/>
    </row>
    <row r="837" spans="6:31" x14ac:dyDescent="0.35">
      <c r="F837" s="1"/>
      <c r="X837" s="2"/>
      <c r="AE837" s="5"/>
    </row>
    <row r="838" spans="6:31" x14ac:dyDescent="0.35">
      <c r="F838" s="1"/>
      <c r="X838" s="2"/>
      <c r="AE838" s="5"/>
    </row>
    <row r="839" spans="6:31" x14ac:dyDescent="0.35">
      <c r="F839" s="1"/>
      <c r="X839" s="2"/>
      <c r="AE839" s="5"/>
    </row>
    <row r="840" spans="6:31" x14ac:dyDescent="0.35">
      <c r="F840" s="1"/>
      <c r="X840" s="2"/>
      <c r="AE840" s="5"/>
    </row>
    <row r="841" spans="6:31" x14ac:dyDescent="0.35">
      <c r="F841" s="1"/>
      <c r="X841" s="2"/>
      <c r="AE841" s="5"/>
    </row>
    <row r="842" spans="6:31" x14ac:dyDescent="0.35">
      <c r="F842" s="1"/>
      <c r="X842" s="2"/>
      <c r="AE842" s="5"/>
    </row>
    <row r="843" spans="6:31" x14ac:dyDescent="0.35">
      <c r="F843" s="1"/>
      <c r="X843" s="2"/>
      <c r="AE843" s="5"/>
    </row>
    <row r="844" spans="6:31" x14ac:dyDescent="0.35">
      <c r="F844" s="1"/>
      <c r="X844" s="2"/>
      <c r="AE844" s="5"/>
    </row>
    <row r="845" spans="6:31" x14ac:dyDescent="0.35">
      <c r="F845" s="1"/>
      <c r="X845" s="2"/>
      <c r="AE845" s="5"/>
    </row>
    <row r="846" spans="6:31" x14ac:dyDescent="0.35">
      <c r="F846" s="1"/>
      <c r="X846" s="2"/>
      <c r="AE846" s="5"/>
    </row>
    <row r="847" spans="6:31" x14ac:dyDescent="0.35">
      <c r="F847" s="1"/>
      <c r="X847" s="2"/>
      <c r="AE847" s="5"/>
    </row>
    <row r="848" spans="6:31" x14ac:dyDescent="0.35">
      <c r="F848" s="1"/>
      <c r="X848" s="2"/>
      <c r="AE848" s="5"/>
    </row>
    <row r="849" spans="6:31" x14ac:dyDescent="0.35">
      <c r="F849" s="1"/>
      <c r="X849" s="2"/>
      <c r="AE849" s="5"/>
    </row>
    <row r="850" spans="6:31" x14ac:dyDescent="0.35">
      <c r="F850" s="1"/>
      <c r="X850" s="2"/>
      <c r="AE850" s="5"/>
    </row>
    <row r="851" spans="6:31" x14ac:dyDescent="0.35">
      <c r="F851" s="1"/>
      <c r="X851" s="2"/>
      <c r="AE851" s="5"/>
    </row>
    <row r="852" spans="6:31" x14ac:dyDescent="0.35">
      <c r="F852" s="1"/>
      <c r="X852" s="2"/>
      <c r="AE852" s="5"/>
    </row>
    <row r="853" spans="6:31" x14ac:dyDescent="0.35">
      <c r="F853" s="1"/>
      <c r="X853" s="2"/>
      <c r="AE853" s="5"/>
    </row>
    <row r="854" spans="6:31" x14ac:dyDescent="0.35">
      <c r="F854" s="1"/>
      <c r="X854" s="2"/>
      <c r="AE854" s="5"/>
    </row>
    <row r="855" spans="6:31" x14ac:dyDescent="0.35">
      <c r="F855" s="1"/>
      <c r="X855" s="2"/>
      <c r="AE855" s="5"/>
    </row>
    <row r="856" spans="6:31" x14ac:dyDescent="0.35">
      <c r="F856" s="1"/>
      <c r="X856" s="2"/>
      <c r="AE856" s="5"/>
    </row>
    <row r="857" spans="6:31" x14ac:dyDescent="0.35">
      <c r="F857" s="1"/>
      <c r="X857" s="2"/>
      <c r="AE857" s="5"/>
    </row>
    <row r="858" spans="6:31" x14ac:dyDescent="0.35">
      <c r="F858" s="1"/>
      <c r="X858" s="2"/>
      <c r="AE858" s="5"/>
    </row>
    <row r="859" spans="6:31" x14ac:dyDescent="0.35">
      <c r="F859" s="1"/>
      <c r="X859" s="2"/>
      <c r="AE859" s="5"/>
    </row>
    <row r="860" spans="6:31" x14ac:dyDescent="0.35">
      <c r="F860" s="1"/>
      <c r="X860" s="2"/>
      <c r="AE860" s="5"/>
    </row>
    <row r="861" spans="6:31" x14ac:dyDescent="0.35">
      <c r="F861" s="1"/>
      <c r="X861" s="2"/>
      <c r="AE861" s="5"/>
    </row>
    <row r="862" spans="6:31" x14ac:dyDescent="0.35">
      <c r="F862" s="1"/>
      <c r="X862" s="2"/>
      <c r="AE862" s="5"/>
    </row>
    <row r="863" spans="6:31" x14ac:dyDescent="0.35">
      <c r="F863" s="1"/>
      <c r="X863" s="2"/>
      <c r="AE863" s="5"/>
    </row>
    <row r="864" spans="6:31" x14ac:dyDescent="0.35">
      <c r="F864" s="1"/>
      <c r="X864" s="2"/>
      <c r="AE864" s="5"/>
    </row>
    <row r="865" spans="6:31" x14ac:dyDescent="0.35">
      <c r="F865" s="1"/>
      <c r="X865" s="2"/>
      <c r="AE865" s="5"/>
    </row>
    <row r="866" spans="6:31" x14ac:dyDescent="0.35">
      <c r="F866" s="1"/>
      <c r="X866" s="2"/>
      <c r="AE866" s="5"/>
    </row>
    <row r="867" spans="6:31" x14ac:dyDescent="0.35">
      <c r="F867" s="1"/>
      <c r="X867" s="2"/>
      <c r="AE867" s="5"/>
    </row>
    <row r="868" spans="6:31" x14ac:dyDescent="0.35">
      <c r="F868" s="1"/>
      <c r="X868" s="2"/>
      <c r="AE868" s="5"/>
    </row>
    <row r="869" spans="6:31" x14ac:dyDescent="0.35">
      <c r="F869" s="1"/>
      <c r="X869" s="2"/>
      <c r="AE869" s="5"/>
    </row>
    <row r="870" spans="6:31" x14ac:dyDescent="0.35">
      <c r="F870" s="1"/>
      <c r="X870" s="2"/>
      <c r="AE870" s="5"/>
    </row>
    <row r="871" spans="6:31" x14ac:dyDescent="0.35">
      <c r="F871" s="1"/>
      <c r="X871" s="2"/>
      <c r="AE871" s="5"/>
    </row>
    <row r="872" spans="6:31" x14ac:dyDescent="0.35">
      <c r="F872" s="1"/>
      <c r="X872" s="2"/>
      <c r="AE872" s="5"/>
    </row>
    <row r="873" spans="6:31" x14ac:dyDescent="0.35">
      <c r="F873" s="1"/>
      <c r="X873" s="2"/>
      <c r="AE873" s="5"/>
    </row>
    <row r="874" spans="6:31" x14ac:dyDescent="0.35">
      <c r="F874" s="1"/>
      <c r="X874" s="2"/>
      <c r="AE874" s="5"/>
    </row>
    <row r="875" spans="6:31" x14ac:dyDescent="0.35">
      <c r="F875" s="1"/>
      <c r="X875" s="2"/>
      <c r="AE875" s="5"/>
    </row>
    <row r="876" spans="6:31" x14ac:dyDescent="0.35">
      <c r="F876" s="1"/>
      <c r="X876" s="2"/>
      <c r="AE876" s="5"/>
    </row>
    <row r="877" spans="6:31" x14ac:dyDescent="0.35">
      <c r="F877" s="1"/>
      <c r="X877" s="2"/>
      <c r="AE877" s="5"/>
    </row>
    <row r="878" spans="6:31" x14ac:dyDescent="0.35">
      <c r="F878" s="1"/>
      <c r="X878" s="2"/>
      <c r="AE878" s="5"/>
    </row>
    <row r="879" spans="6:31" x14ac:dyDescent="0.35">
      <c r="F879" s="1"/>
      <c r="X879" s="2"/>
      <c r="AE879" s="5"/>
    </row>
    <row r="880" spans="6:31" x14ac:dyDescent="0.35">
      <c r="F880" s="1"/>
      <c r="X880" s="2"/>
      <c r="AE880" s="5"/>
    </row>
    <row r="881" spans="6:31" x14ac:dyDescent="0.35">
      <c r="F881" s="1"/>
      <c r="X881" s="2"/>
      <c r="AE881" s="5"/>
    </row>
    <row r="882" spans="6:31" x14ac:dyDescent="0.35">
      <c r="F882" s="1"/>
      <c r="X882" s="2"/>
      <c r="AE882" s="5"/>
    </row>
    <row r="883" spans="6:31" x14ac:dyDescent="0.35">
      <c r="F883" s="1"/>
      <c r="X883" s="2"/>
      <c r="AE883" s="5"/>
    </row>
    <row r="884" spans="6:31" x14ac:dyDescent="0.35">
      <c r="F884" s="1"/>
      <c r="X884" s="2"/>
      <c r="AE884" s="5"/>
    </row>
    <row r="885" spans="6:31" x14ac:dyDescent="0.35">
      <c r="F885" s="1"/>
      <c r="X885" s="2"/>
      <c r="AE885" s="5"/>
    </row>
    <row r="886" spans="6:31" x14ac:dyDescent="0.35">
      <c r="F886" s="1"/>
      <c r="X886" s="2"/>
      <c r="AE886" s="5"/>
    </row>
    <row r="887" spans="6:31" x14ac:dyDescent="0.35">
      <c r="F887" s="1"/>
      <c r="X887" s="2"/>
      <c r="AE887" s="5"/>
    </row>
    <row r="888" spans="6:31" x14ac:dyDescent="0.35">
      <c r="F888" s="1"/>
      <c r="X888" s="2"/>
      <c r="AE888" s="5"/>
    </row>
    <row r="889" spans="6:31" x14ac:dyDescent="0.35">
      <c r="F889" s="1"/>
      <c r="X889" s="2"/>
      <c r="AE889" s="5"/>
    </row>
    <row r="890" spans="6:31" x14ac:dyDescent="0.35">
      <c r="F890" s="1"/>
      <c r="X890" s="2"/>
      <c r="AE890" s="5"/>
    </row>
    <row r="891" spans="6:31" x14ac:dyDescent="0.35">
      <c r="F891" s="1"/>
      <c r="X891" s="2"/>
      <c r="AE891" s="5"/>
    </row>
    <row r="892" spans="6:31" x14ac:dyDescent="0.35">
      <c r="F892" s="1"/>
      <c r="X892" s="2"/>
      <c r="AE892" s="5"/>
    </row>
    <row r="893" spans="6:31" x14ac:dyDescent="0.35">
      <c r="F893" s="1"/>
      <c r="X893" s="2"/>
      <c r="AE893" s="5"/>
    </row>
    <row r="894" spans="6:31" x14ac:dyDescent="0.35">
      <c r="F894" s="1"/>
      <c r="X894" s="2"/>
      <c r="AE894" s="5"/>
    </row>
    <row r="895" spans="6:31" x14ac:dyDescent="0.35">
      <c r="F895" s="1"/>
      <c r="X895" s="2"/>
      <c r="AE895" s="5"/>
    </row>
    <row r="896" spans="6:31" x14ac:dyDescent="0.35">
      <c r="F896" s="1"/>
      <c r="X896" s="2"/>
      <c r="AE896" s="5"/>
    </row>
    <row r="897" spans="6:31" x14ac:dyDescent="0.35">
      <c r="F897" s="1"/>
      <c r="X897" s="2"/>
      <c r="AE897" s="5"/>
    </row>
    <row r="898" spans="6:31" x14ac:dyDescent="0.35">
      <c r="F898" s="1"/>
      <c r="X898" s="2"/>
      <c r="AE898" s="5"/>
    </row>
    <row r="899" spans="6:31" x14ac:dyDescent="0.35">
      <c r="F899" s="1"/>
      <c r="X899" s="2"/>
      <c r="AE899" s="5"/>
    </row>
    <row r="900" spans="6:31" x14ac:dyDescent="0.35">
      <c r="F900" s="1"/>
      <c r="X900" s="2"/>
      <c r="AE900" s="5"/>
    </row>
    <row r="901" spans="6:31" x14ac:dyDescent="0.35">
      <c r="F901" s="1"/>
      <c r="X901" s="2"/>
      <c r="AE901" s="5"/>
    </row>
    <row r="902" spans="6:31" x14ac:dyDescent="0.35">
      <c r="F902" s="1"/>
      <c r="X902" s="2"/>
      <c r="AE902" s="5"/>
    </row>
    <row r="903" spans="6:31" x14ac:dyDescent="0.35">
      <c r="F903" s="1"/>
      <c r="X903" s="2"/>
      <c r="AE903" s="5"/>
    </row>
    <row r="904" spans="6:31" x14ac:dyDescent="0.35">
      <c r="F904" s="1"/>
      <c r="X904" s="2"/>
      <c r="AE904" s="5"/>
    </row>
    <row r="905" spans="6:31" x14ac:dyDescent="0.35">
      <c r="F905" s="1"/>
      <c r="X905" s="2"/>
      <c r="AE905" s="5"/>
    </row>
    <row r="906" spans="6:31" x14ac:dyDescent="0.35">
      <c r="F906" s="1"/>
      <c r="X906" s="2"/>
      <c r="AE906" s="5"/>
    </row>
    <row r="907" spans="6:31" x14ac:dyDescent="0.35">
      <c r="F907" s="1"/>
      <c r="X907" s="2"/>
      <c r="AE907" s="5"/>
    </row>
    <row r="908" spans="6:31" x14ac:dyDescent="0.35">
      <c r="F908" s="1"/>
      <c r="X908" s="2"/>
      <c r="AE908" s="5"/>
    </row>
    <row r="909" spans="6:31" x14ac:dyDescent="0.35">
      <c r="F909" s="1"/>
      <c r="X909" s="2"/>
      <c r="AE909" s="5"/>
    </row>
    <row r="910" spans="6:31" x14ac:dyDescent="0.35">
      <c r="F910" s="1"/>
      <c r="X910" s="2"/>
      <c r="AE910" s="5"/>
    </row>
    <row r="911" spans="6:31" x14ac:dyDescent="0.35">
      <c r="F911" s="1"/>
      <c r="X911" s="2"/>
      <c r="AE911" s="5"/>
    </row>
    <row r="912" spans="6:31" x14ac:dyDescent="0.35">
      <c r="F912" s="1"/>
      <c r="X912" s="2"/>
      <c r="AE912" s="5"/>
    </row>
    <row r="913" spans="6:31" x14ac:dyDescent="0.35">
      <c r="F913" s="1"/>
      <c r="X913" s="2"/>
      <c r="AE913" s="5"/>
    </row>
    <row r="914" spans="6:31" x14ac:dyDescent="0.35">
      <c r="F914" s="1"/>
      <c r="X914" s="2"/>
      <c r="AE914" s="5"/>
    </row>
    <row r="915" spans="6:31" x14ac:dyDescent="0.35">
      <c r="F915" s="1"/>
      <c r="X915" s="2"/>
      <c r="AE915" s="5"/>
    </row>
    <row r="916" spans="6:31" x14ac:dyDescent="0.35">
      <c r="F916" s="1"/>
      <c r="X916" s="2"/>
      <c r="AE916" s="5"/>
    </row>
    <row r="917" spans="6:31" x14ac:dyDescent="0.35">
      <c r="F917" s="1"/>
      <c r="X917" s="2"/>
      <c r="AE917" s="5"/>
    </row>
    <row r="918" spans="6:31" x14ac:dyDescent="0.35">
      <c r="F918" s="1"/>
      <c r="X918" s="2"/>
      <c r="AE918" s="5"/>
    </row>
    <row r="919" spans="6:31" x14ac:dyDescent="0.35">
      <c r="F919" s="1"/>
      <c r="X919" s="2"/>
      <c r="AE919" s="5"/>
    </row>
    <row r="920" spans="6:31" x14ac:dyDescent="0.35">
      <c r="F920" s="1"/>
      <c r="X920" s="2"/>
      <c r="AE920" s="5"/>
    </row>
    <row r="921" spans="6:31" x14ac:dyDescent="0.35">
      <c r="F921" s="1"/>
      <c r="X921" s="2"/>
      <c r="AE921" s="5"/>
    </row>
    <row r="922" spans="6:31" x14ac:dyDescent="0.35">
      <c r="F922" s="1"/>
      <c r="X922" s="2"/>
      <c r="AE922" s="5"/>
    </row>
    <row r="923" spans="6:31" x14ac:dyDescent="0.35">
      <c r="F923" s="1"/>
      <c r="X923" s="2"/>
      <c r="AE923" s="5"/>
    </row>
    <row r="924" spans="6:31" x14ac:dyDescent="0.35">
      <c r="F924" s="1"/>
      <c r="X924" s="2"/>
      <c r="AE924" s="5"/>
    </row>
    <row r="925" spans="6:31" x14ac:dyDescent="0.35">
      <c r="F925" s="1"/>
      <c r="X925" s="2"/>
      <c r="AE925" s="5"/>
    </row>
    <row r="926" spans="6:31" x14ac:dyDescent="0.35">
      <c r="F926" s="1"/>
      <c r="X926" s="2"/>
      <c r="AE926" s="5"/>
    </row>
    <row r="927" spans="6:31" x14ac:dyDescent="0.35">
      <c r="F927" s="1"/>
      <c r="X927" s="2"/>
      <c r="AE927" s="5"/>
    </row>
    <row r="928" spans="6:31" x14ac:dyDescent="0.35">
      <c r="F928" s="1"/>
      <c r="X928" s="2"/>
      <c r="AE928" s="5"/>
    </row>
    <row r="929" spans="6:31" x14ac:dyDescent="0.35">
      <c r="F929" s="1"/>
      <c r="X929" s="2"/>
      <c r="AE929" s="5"/>
    </row>
    <row r="930" spans="6:31" x14ac:dyDescent="0.35">
      <c r="F930" s="1"/>
      <c r="X930" s="2"/>
      <c r="AE930" s="5"/>
    </row>
    <row r="931" spans="6:31" x14ac:dyDescent="0.35">
      <c r="F931" s="1"/>
      <c r="X931" s="2"/>
      <c r="AE931" s="5"/>
    </row>
    <row r="932" spans="6:31" x14ac:dyDescent="0.35">
      <c r="F932" s="1"/>
      <c r="X932" s="2"/>
      <c r="AE932" s="5"/>
    </row>
    <row r="933" spans="6:31" x14ac:dyDescent="0.35">
      <c r="F933" s="1"/>
      <c r="X933" s="2"/>
      <c r="AE933" s="5"/>
    </row>
    <row r="934" spans="6:31" x14ac:dyDescent="0.35">
      <c r="F934" s="1"/>
      <c r="X934" s="2"/>
      <c r="AE934" s="5"/>
    </row>
    <row r="935" spans="6:31" x14ac:dyDescent="0.35">
      <c r="F935" s="1"/>
      <c r="X935" s="2"/>
      <c r="AE935" s="5"/>
    </row>
    <row r="936" spans="6:31" x14ac:dyDescent="0.35">
      <c r="F936" s="1"/>
      <c r="X936" s="2"/>
      <c r="AE936" s="5"/>
    </row>
    <row r="937" spans="6:31" x14ac:dyDescent="0.35">
      <c r="F937" s="1"/>
      <c r="X937" s="2"/>
      <c r="AE937" s="5"/>
    </row>
    <row r="938" spans="6:31" x14ac:dyDescent="0.35">
      <c r="F938" s="1"/>
      <c r="X938" s="2"/>
      <c r="AE938" s="5"/>
    </row>
    <row r="939" spans="6:31" x14ac:dyDescent="0.35">
      <c r="F939" s="1"/>
      <c r="X939" s="2"/>
      <c r="AE939" s="5"/>
    </row>
    <row r="940" spans="6:31" x14ac:dyDescent="0.35">
      <c r="F940" s="1"/>
      <c r="X940" s="2"/>
      <c r="AE940" s="5"/>
    </row>
    <row r="941" spans="6:31" x14ac:dyDescent="0.35">
      <c r="F941" s="1"/>
      <c r="X941" s="2"/>
      <c r="AE941" s="5"/>
    </row>
    <row r="942" spans="6:31" x14ac:dyDescent="0.35">
      <c r="F942" s="1"/>
      <c r="X942" s="2"/>
      <c r="AE942" s="5"/>
    </row>
    <row r="943" spans="6:31" x14ac:dyDescent="0.35">
      <c r="F943" s="1"/>
      <c r="X943" s="2"/>
      <c r="AE943" s="5"/>
    </row>
    <row r="944" spans="6:31" x14ac:dyDescent="0.35">
      <c r="F944" s="1"/>
      <c r="X944" s="2"/>
      <c r="AE944" s="5"/>
    </row>
    <row r="945" spans="6:31" x14ac:dyDescent="0.35">
      <c r="F945" s="1"/>
      <c r="X945" s="2"/>
      <c r="AE945" s="5"/>
    </row>
    <row r="946" spans="6:31" x14ac:dyDescent="0.35">
      <c r="F946" s="1"/>
      <c r="X946" s="2"/>
      <c r="AE946" s="5"/>
    </row>
    <row r="947" spans="6:31" x14ac:dyDescent="0.35">
      <c r="F947" s="1"/>
      <c r="X947" s="2"/>
      <c r="AE947" s="5"/>
    </row>
    <row r="948" spans="6:31" x14ac:dyDescent="0.35">
      <c r="F948" s="1"/>
      <c r="X948" s="2"/>
      <c r="AE948" s="5"/>
    </row>
    <row r="949" spans="6:31" x14ac:dyDescent="0.35">
      <c r="F949" s="1"/>
      <c r="X949" s="2"/>
      <c r="AE949" s="5"/>
    </row>
    <row r="950" spans="6:31" x14ac:dyDescent="0.35">
      <c r="F950" s="1"/>
      <c r="X950" s="2"/>
      <c r="AE950" s="5"/>
    </row>
    <row r="951" spans="6:31" x14ac:dyDescent="0.35">
      <c r="F951" s="1"/>
      <c r="X951" s="2"/>
      <c r="AE951" s="5"/>
    </row>
    <row r="952" spans="6:31" x14ac:dyDescent="0.35">
      <c r="F952" s="1"/>
      <c r="X952" s="2"/>
      <c r="AE952" s="5"/>
    </row>
    <row r="953" spans="6:31" x14ac:dyDescent="0.35">
      <c r="F953" s="1"/>
      <c r="X953" s="2"/>
      <c r="AE953" s="5"/>
    </row>
    <row r="954" spans="6:31" x14ac:dyDescent="0.35">
      <c r="F954" s="1"/>
      <c r="X954" s="2"/>
      <c r="AE954" s="5"/>
    </row>
    <row r="955" spans="6:31" x14ac:dyDescent="0.35">
      <c r="F955" s="1"/>
      <c r="X955" s="2"/>
      <c r="AE955" s="5"/>
    </row>
    <row r="956" spans="6:31" x14ac:dyDescent="0.35">
      <c r="F956" s="1"/>
      <c r="X956" s="2"/>
      <c r="AE956" s="5"/>
    </row>
    <row r="957" spans="6:31" x14ac:dyDescent="0.35">
      <c r="F957" s="1"/>
      <c r="X957" s="2"/>
      <c r="AE957" s="5"/>
    </row>
    <row r="958" spans="6:31" x14ac:dyDescent="0.35">
      <c r="F958" s="1"/>
      <c r="X958" s="2"/>
      <c r="AE958" s="5"/>
    </row>
    <row r="959" spans="6:31" x14ac:dyDescent="0.35">
      <c r="F959" s="1"/>
      <c r="X959" s="2"/>
      <c r="AE959" s="5"/>
    </row>
    <row r="960" spans="6:31" x14ac:dyDescent="0.35">
      <c r="F960" s="1"/>
      <c r="X960" s="2"/>
      <c r="AE960" s="5"/>
    </row>
    <row r="961" spans="6:31" x14ac:dyDescent="0.35">
      <c r="F961" s="1"/>
      <c r="X961" s="2"/>
      <c r="AE961" s="5"/>
    </row>
    <row r="962" spans="6:31" x14ac:dyDescent="0.35">
      <c r="F962" s="1"/>
      <c r="X962" s="2"/>
      <c r="AE962" s="5"/>
    </row>
    <row r="963" spans="6:31" x14ac:dyDescent="0.35">
      <c r="F963" s="1"/>
      <c r="X963" s="2"/>
      <c r="AE963" s="5"/>
    </row>
    <row r="964" spans="6:31" x14ac:dyDescent="0.35">
      <c r="F964" s="1"/>
      <c r="X964" s="2"/>
      <c r="AE964" s="5"/>
    </row>
    <row r="965" spans="6:31" x14ac:dyDescent="0.35">
      <c r="F965" s="1"/>
      <c r="X965" s="2"/>
      <c r="AE965" s="5"/>
    </row>
    <row r="966" spans="6:31" x14ac:dyDescent="0.35">
      <c r="F966" s="1"/>
      <c r="X966" s="2"/>
      <c r="AE966" s="5"/>
    </row>
    <row r="967" spans="6:31" x14ac:dyDescent="0.35">
      <c r="F967" s="1"/>
      <c r="X967" s="2"/>
      <c r="AE967" s="5"/>
    </row>
    <row r="968" spans="6:31" x14ac:dyDescent="0.35">
      <c r="F968" s="1"/>
      <c r="X968" s="2"/>
      <c r="AE968" s="5"/>
    </row>
    <row r="969" spans="6:31" x14ac:dyDescent="0.35">
      <c r="F969" s="1"/>
      <c r="X969" s="2"/>
      <c r="AE969" s="5"/>
    </row>
    <row r="970" spans="6:31" x14ac:dyDescent="0.35">
      <c r="F970" s="1"/>
      <c r="X970" s="2"/>
      <c r="AE970" s="5"/>
    </row>
    <row r="971" spans="6:31" x14ac:dyDescent="0.35">
      <c r="F971" s="1"/>
      <c r="X971" s="2"/>
      <c r="AE971" s="5"/>
    </row>
    <row r="972" spans="6:31" x14ac:dyDescent="0.35">
      <c r="F972" s="1"/>
      <c r="X972" s="2"/>
      <c r="AE972" s="5"/>
    </row>
    <row r="973" spans="6:31" x14ac:dyDescent="0.35">
      <c r="F973" s="1"/>
      <c r="X973" s="2"/>
      <c r="AE973" s="5"/>
    </row>
    <row r="974" spans="6:31" x14ac:dyDescent="0.35">
      <c r="F974" s="1"/>
      <c r="X974" s="2"/>
      <c r="AE974" s="5"/>
    </row>
    <row r="975" spans="6:31" x14ac:dyDescent="0.35">
      <c r="F975" s="1"/>
      <c r="X975" s="2"/>
      <c r="AE975" s="5"/>
    </row>
    <row r="976" spans="6:31" x14ac:dyDescent="0.35">
      <c r="F976" s="1"/>
      <c r="X976" s="2"/>
      <c r="AE976" s="5"/>
    </row>
    <row r="977" spans="6:31" x14ac:dyDescent="0.35">
      <c r="F977" s="1"/>
      <c r="X977" s="2"/>
      <c r="AE977" s="5"/>
    </row>
    <row r="978" spans="6:31" x14ac:dyDescent="0.35">
      <c r="F978" s="1"/>
      <c r="X978" s="2"/>
      <c r="AE978" s="5"/>
    </row>
    <row r="979" spans="6:31" x14ac:dyDescent="0.35">
      <c r="F979" s="1"/>
      <c r="X979" s="2"/>
      <c r="AE979" s="5"/>
    </row>
    <row r="980" spans="6:31" x14ac:dyDescent="0.35">
      <c r="F980" s="1"/>
      <c r="X980" s="2"/>
      <c r="AE980" s="5"/>
    </row>
    <row r="981" spans="6:31" x14ac:dyDescent="0.35">
      <c r="F981" s="1"/>
      <c r="X981" s="2"/>
      <c r="AE981" s="5"/>
    </row>
    <row r="982" spans="6:31" x14ac:dyDescent="0.35">
      <c r="F982" s="1"/>
      <c r="X982" s="2"/>
      <c r="AE982" s="5"/>
    </row>
    <row r="983" spans="6:31" x14ac:dyDescent="0.35">
      <c r="F983" s="1"/>
      <c r="X983" s="2"/>
      <c r="AE983" s="5"/>
    </row>
    <row r="984" spans="6:31" x14ac:dyDescent="0.35">
      <c r="F984" s="1"/>
      <c r="X984" s="2"/>
      <c r="AE984" s="5"/>
    </row>
    <row r="985" spans="6:31" x14ac:dyDescent="0.35">
      <c r="F985" s="1"/>
      <c r="X985" s="2"/>
      <c r="AE985" s="5"/>
    </row>
    <row r="986" spans="6:31" x14ac:dyDescent="0.35">
      <c r="F986" s="1"/>
      <c r="X986" s="2"/>
      <c r="AE986" s="5"/>
    </row>
    <row r="987" spans="6:31" x14ac:dyDescent="0.35">
      <c r="F987" s="1"/>
      <c r="X987" s="2"/>
      <c r="AE987" s="5"/>
    </row>
    <row r="988" spans="6:31" x14ac:dyDescent="0.35">
      <c r="F988" s="1"/>
      <c r="X988" s="2"/>
      <c r="AE988" s="5"/>
    </row>
    <row r="989" spans="6:31" x14ac:dyDescent="0.35">
      <c r="F989" s="1"/>
      <c r="X989" s="2"/>
      <c r="AE989" s="5"/>
    </row>
    <row r="990" spans="6:31" x14ac:dyDescent="0.35">
      <c r="F990" s="1"/>
      <c r="X990" s="2"/>
      <c r="AE990" s="5"/>
    </row>
    <row r="991" spans="6:31" x14ac:dyDescent="0.35">
      <c r="F991" s="1"/>
      <c r="X991" s="2"/>
      <c r="AE991" s="5"/>
    </row>
    <row r="992" spans="6:31" x14ac:dyDescent="0.35">
      <c r="F992" s="1"/>
      <c r="X992" s="2"/>
      <c r="AE992" s="5"/>
    </row>
    <row r="993" spans="6:31" x14ac:dyDescent="0.35">
      <c r="F993" s="1"/>
      <c r="X993" s="2"/>
      <c r="AE993" s="5"/>
    </row>
    <row r="994" spans="6:31" x14ac:dyDescent="0.35">
      <c r="F994" s="1"/>
      <c r="X994" s="2"/>
      <c r="AE994" s="5"/>
    </row>
    <row r="995" spans="6:31" x14ac:dyDescent="0.35">
      <c r="F995" s="1"/>
      <c r="X995" s="2"/>
      <c r="AE995" s="5"/>
    </row>
    <row r="996" spans="6:31" x14ac:dyDescent="0.35">
      <c r="F996" s="1"/>
      <c r="X996" s="2"/>
      <c r="AE996" s="5"/>
    </row>
    <row r="997" spans="6:31" x14ac:dyDescent="0.35">
      <c r="F997" s="1"/>
      <c r="X997" s="2"/>
      <c r="AE997" s="5"/>
    </row>
    <row r="998" spans="6:31" x14ac:dyDescent="0.35">
      <c r="F998" s="1"/>
      <c r="X998" s="2"/>
      <c r="AE998" s="5"/>
    </row>
    <row r="999" spans="6:31" x14ac:dyDescent="0.35">
      <c r="F999" s="1"/>
      <c r="X999" s="2"/>
      <c r="AE999" s="5"/>
    </row>
    <row r="1000" spans="6:31" x14ac:dyDescent="0.35">
      <c r="F1000" s="1"/>
      <c r="X1000" s="2"/>
      <c r="AE1000" s="5"/>
    </row>
    <row r="1001" spans="6:31" x14ac:dyDescent="0.35">
      <c r="F1001" s="1"/>
      <c r="X1001" s="2"/>
      <c r="AE1001" s="5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74AA45-2EAF-4857-BE8C-D3404F01FF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Akinola Arilewola</dc:creator>
  <cp:lastModifiedBy>Akinola Arilewola</cp:lastModifiedBy>
  <dcterms:created xsi:type="dcterms:W3CDTF">2025-11-15T17:34:41Z</dcterms:created>
  <dcterms:modified xsi:type="dcterms:W3CDTF">2025-11-22T01:08:59Z</dcterms:modified>
</cp:coreProperties>
</file>